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Лидия\OneDrive\Desktop\ \"/>
    </mc:Choice>
  </mc:AlternateContent>
  <xr:revisionPtr revIDLastSave="0" documentId="13_ncr:1_{27448F38-0EFB-47B2-B3F0-5DFD195979A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Хср персы" sheetId="1" r:id="rId1"/>
    <sheet name="Хср боссы" sheetId="2" r:id="rId2"/>
    <sheet name="боссы следов" sheetId="12" r:id="rId3"/>
    <sheet name="ch материалы" sheetId="11" r:id="rId4"/>
    <sheet name="геншин персы" sheetId="3" r:id="rId5"/>
    <sheet name="материалы прокачки" sheetId="7" r:id="rId6"/>
    <sheet name="диковинки" sheetId="4" r:id="rId7"/>
    <sheet name="Кристалы" sheetId="9" r:id="rId8"/>
    <sheet name="еженед боссы" sheetId="6" r:id="rId9"/>
    <sheet name="боссы" sheetId="5" r:id="rId10"/>
    <sheet name="Книги талантов" sheetId="8" r:id="rId11"/>
    <sheet name="Рыбалка" sheetId="10" r:id="rId12"/>
  </sheets>
  <definedNames>
    <definedName name="_xlnm._FilterDatabase" localSheetId="9" hidden="1">боссы!$A$1:$D$35</definedName>
    <definedName name="_xlnm._FilterDatabase" localSheetId="4" hidden="1">'геншин персы'!$A$1:$AB$105</definedName>
    <definedName name="_xlnm._FilterDatabase" localSheetId="6" hidden="1">диковинки!$A$1:$G$50</definedName>
    <definedName name="_xlnm._FilterDatabase" localSheetId="5" hidden="1">'материалы прокачки'!$A$1:$N$16</definedName>
    <definedName name="_xlnm._FilterDatabase" localSheetId="11" hidden="1">Рыбалка!$A$1:$O$46</definedName>
    <definedName name="_xlnm._FilterDatabase" localSheetId="1" hidden="1">'Хср боссы'!$A$1:$K$28</definedName>
    <definedName name="_xlnm._FilterDatabase" localSheetId="0" hidden="1">'Хср персы'!$A$1:$AC$77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0" i="1" l="1"/>
  <c r="C4" i="2" s="1"/>
  <c r="D4" i="2" s="1"/>
  <c r="E4" i="2" s="1"/>
  <c r="F4" i="2" s="1"/>
  <c r="F65" i="1"/>
  <c r="F52" i="1"/>
  <c r="F57" i="1"/>
  <c r="F15" i="1"/>
  <c r="F14" i="1"/>
  <c r="F16" i="1"/>
  <c r="F13" i="1"/>
  <c r="F75" i="1"/>
  <c r="F67" i="1"/>
  <c r="F51" i="1"/>
  <c r="F27" i="1"/>
  <c r="C2" i="2" s="1"/>
  <c r="D2" i="2" s="1"/>
  <c r="E2" i="2" s="1"/>
  <c r="F19" i="1"/>
  <c r="C3" i="2" s="1"/>
  <c r="F56" i="1"/>
  <c r="F12" i="1"/>
  <c r="B6" i="12" s="1"/>
  <c r="F18" i="1"/>
  <c r="C3" i="10"/>
  <c r="E3" i="10" s="1"/>
  <c r="C4" i="10"/>
  <c r="E4" i="10" s="1"/>
  <c r="C5" i="10"/>
  <c r="E5" i="10" s="1"/>
  <c r="C6" i="10"/>
  <c r="E6" i="10" s="1"/>
  <c r="C7" i="10"/>
  <c r="E7" i="10" s="1"/>
  <c r="C8" i="10"/>
  <c r="E8" i="10" s="1"/>
  <c r="C9" i="10"/>
  <c r="E9" i="10" s="1"/>
  <c r="C10" i="10"/>
  <c r="E10" i="10" s="1"/>
  <c r="C11" i="10"/>
  <c r="E11" i="10" s="1"/>
  <c r="C12" i="10"/>
  <c r="E12" i="10" s="1"/>
  <c r="C13" i="10"/>
  <c r="E13" i="10" s="1"/>
  <c r="C14" i="10"/>
  <c r="E14" i="10" s="1"/>
  <c r="C15" i="10"/>
  <c r="E15" i="10" s="1"/>
  <c r="C16" i="10"/>
  <c r="E16" i="10" s="1"/>
  <c r="C17" i="10"/>
  <c r="E17" i="10" s="1"/>
  <c r="C18" i="10"/>
  <c r="E18" i="10" s="1"/>
  <c r="C19" i="10"/>
  <c r="E19" i="10" s="1"/>
  <c r="C20" i="10"/>
  <c r="E20" i="10" s="1"/>
  <c r="C21" i="10"/>
  <c r="E21" i="10" s="1"/>
  <c r="C22" i="10"/>
  <c r="E22" i="10" s="1"/>
  <c r="C23" i="10"/>
  <c r="E23" i="10" s="1"/>
  <c r="C24" i="10"/>
  <c r="E24" i="10" s="1"/>
  <c r="C29" i="10"/>
  <c r="E29" i="10" s="1"/>
  <c r="C30" i="10"/>
  <c r="E30" i="10" s="1"/>
  <c r="C32" i="10"/>
  <c r="E32" i="10" s="1"/>
  <c r="C31" i="10"/>
  <c r="E31" i="10" s="1"/>
  <c r="C43" i="10"/>
  <c r="E43" i="10" s="1"/>
  <c r="C41" i="10"/>
  <c r="E41" i="10" s="1"/>
  <c r="C46" i="10"/>
  <c r="E46" i="10" s="1"/>
  <c r="C44" i="10"/>
  <c r="E44" i="10" s="1"/>
  <c r="C42" i="10"/>
  <c r="E42" i="10" s="1"/>
  <c r="C34" i="10"/>
  <c r="E34" i="10" s="1"/>
  <c r="C28" i="10"/>
  <c r="E28" i="10" s="1"/>
  <c r="C40" i="10"/>
  <c r="E40" i="10" s="1"/>
  <c r="C33" i="10"/>
  <c r="E33" i="10" s="1"/>
  <c r="C2" i="10"/>
  <c r="E2" i="10" s="1"/>
  <c r="C39" i="10"/>
  <c r="E39" i="10" s="1"/>
  <c r="C27" i="10"/>
  <c r="E27" i="10" s="1"/>
  <c r="C25" i="10"/>
  <c r="E25" i="10" s="1"/>
  <c r="C35" i="10"/>
  <c r="E35" i="10" s="1"/>
  <c r="C36" i="10"/>
  <c r="E36" i="10" s="1"/>
  <c r="C37" i="10"/>
  <c r="E37" i="10" s="1"/>
  <c r="C38" i="10"/>
  <c r="E38" i="10" s="1"/>
  <c r="C26" i="10"/>
  <c r="E26" i="10" s="1"/>
  <c r="C45" i="10"/>
  <c r="E45" i="10" s="1"/>
  <c r="F54" i="1"/>
  <c r="F50" i="1"/>
  <c r="Z37" i="3"/>
  <c r="X37" i="3"/>
  <c r="W37" i="3"/>
  <c r="V37" i="3"/>
  <c r="U37" i="3"/>
  <c r="S37" i="3"/>
  <c r="Q37" i="3"/>
  <c r="P37" i="3"/>
  <c r="O37" i="3"/>
  <c r="M37" i="3"/>
  <c r="L37" i="3"/>
  <c r="K37" i="3"/>
  <c r="J37" i="3"/>
  <c r="I37" i="3"/>
  <c r="F33" i="4"/>
  <c r="F48" i="4"/>
  <c r="F5" i="4"/>
  <c r="F16" i="4"/>
  <c r="F12" i="4"/>
  <c r="F22" i="4"/>
  <c r="J2" i="9"/>
  <c r="Q38" i="3"/>
  <c r="S81" i="3"/>
  <c r="V67" i="3"/>
  <c r="W67" i="3"/>
  <c r="X67" i="3"/>
  <c r="V81" i="3"/>
  <c r="W81" i="3"/>
  <c r="X81" i="3"/>
  <c r="V2" i="3"/>
  <c r="W2" i="3"/>
  <c r="X2" i="3"/>
  <c r="V3" i="3"/>
  <c r="W3" i="3"/>
  <c r="X3" i="3"/>
  <c r="V16" i="3"/>
  <c r="W16" i="3"/>
  <c r="X16" i="3"/>
  <c r="V39" i="3"/>
  <c r="W39" i="3"/>
  <c r="X39" i="3"/>
  <c r="V17" i="3"/>
  <c r="W17" i="3"/>
  <c r="X17" i="3"/>
  <c r="V40" i="3"/>
  <c r="W40" i="3"/>
  <c r="X40" i="3"/>
  <c r="V41" i="3"/>
  <c r="W41" i="3"/>
  <c r="X41" i="3"/>
  <c r="V68" i="3"/>
  <c r="W68" i="3"/>
  <c r="X68" i="3"/>
  <c r="V18" i="3"/>
  <c r="W18" i="3"/>
  <c r="X18" i="3"/>
  <c r="V4" i="3"/>
  <c r="W4" i="3"/>
  <c r="X4" i="3"/>
  <c r="V5" i="3"/>
  <c r="W5" i="3"/>
  <c r="X5" i="3"/>
  <c r="V95" i="3"/>
  <c r="W95" i="3"/>
  <c r="X95" i="3"/>
  <c r="V96" i="3"/>
  <c r="W96" i="3"/>
  <c r="X96" i="3"/>
  <c r="V58" i="3"/>
  <c r="W58" i="3"/>
  <c r="X58" i="3"/>
  <c r="V42" i="3"/>
  <c r="W42" i="3"/>
  <c r="X42" i="3"/>
  <c r="V82" i="3"/>
  <c r="W82" i="3"/>
  <c r="X82" i="3"/>
  <c r="V6" i="3"/>
  <c r="W6" i="3"/>
  <c r="X6" i="3"/>
  <c r="V19" i="3"/>
  <c r="W19" i="3"/>
  <c r="X19" i="3"/>
  <c r="V83" i="3"/>
  <c r="W83" i="3"/>
  <c r="X83" i="3"/>
  <c r="V59" i="3"/>
  <c r="W59" i="3"/>
  <c r="X59" i="3"/>
  <c r="V43" i="3"/>
  <c r="W43" i="3"/>
  <c r="X43" i="3"/>
  <c r="V60" i="3"/>
  <c r="M16" i="8" s="1"/>
  <c r="W60" i="3"/>
  <c r="H16" i="8" s="1"/>
  <c r="X60" i="3"/>
  <c r="C16" i="8" s="1"/>
  <c r="D16" i="8" s="1"/>
  <c r="E16" i="8" s="1"/>
  <c r="G16" i="8" s="1"/>
  <c r="V84" i="3"/>
  <c r="W84" i="3"/>
  <c r="X84" i="3"/>
  <c r="V69" i="3"/>
  <c r="W69" i="3"/>
  <c r="X69" i="3"/>
  <c r="V85" i="3"/>
  <c r="W85" i="3"/>
  <c r="X85" i="3"/>
  <c r="V70" i="3"/>
  <c r="W70" i="3"/>
  <c r="X70" i="3"/>
  <c r="V97" i="3"/>
  <c r="W97" i="3"/>
  <c r="X97" i="3"/>
  <c r="V98" i="3"/>
  <c r="W98" i="3"/>
  <c r="X98" i="3"/>
  <c r="V99" i="3"/>
  <c r="W99" i="3"/>
  <c r="X99" i="3"/>
  <c r="V100" i="3"/>
  <c r="W100" i="3"/>
  <c r="X100" i="3"/>
  <c r="V101" i="3"/>
  <c r="W101" i="3"/>
  <c r="X101" i="3"/>
  <c r="V7" i="3"/>
  <c r="W7" i="3"/>
  <c r="X7" i="3"/>
  <c r="V86" i="3"/>
  <c r="W86" i="3"/>
  <c r="X86" i="3"/>
  <c r="V71" i="3"/>
  <c r="W71" i="3"/>
  <c r="X71" i="3"/>
  <c r="V87" i="3"/>
  <c r="W87" i="3"/>
  <c r="X87" i="3"/>
  <c r="V61" i="3"/>
  <c r="W61" i="3"/>
  <c r="X61" i="3"/>
  <c r="V72" i="3"/>
  <c r="W72" i="3"/>
  <c r="X72" i="3"/>
  <c r="V21" i="3"/>
  <c r="W21" i="3"/>
  <c r="X21" i="3"/>
  <c r="V22" i="3"/>
  <c r="W22" i="3"/>
  <c r="X22" i="3"/>
  <c r="V73" i="3"/>
  <c r="W73" i="3"/>
  <c r="X73" i="3"/>
  <c r="V88" i="3"/>
  <c r="W88" i="3"/>
  <c r="X88" i="3"/>
  <c r="V89" i="3"/>
  <c r="M17" i="8" s="1"/>
  <c r="W89" i="3"/>
  <c r="X89" i="3"/>
  <c r="V23" i="3"/>
  <c r="W23" i="3"/>
  <c r="X23" i="3"/>
  <c r="V24" i="3"/>
  <c r="W24" i="3"/>
  <c r="X24" i="3"/>
  <c r="V62" i="3"/>
  <c r="W62" i="3"/>
  <c r="X62" i="3"/>
  <c r="V25" i="3"/>
  <c r="W25" i="3"/>
  <c r="X25" i="3"/>
  <c r="V63" i="3"/>
  <c r="W63" i="3"/>
  <c r="X63" i="3"/>
  <c r="V26" i="3"/>
  <c r="W26" i="3"/>
  <c r="X26" i="3"/>
  <c r="V44" i="3"/>
  <c r="W44" i="3"/>
  <c r="X44" i="3"/>
  <c r="V90" i="3"/>
  <c r="W90" i="3"/>
  <c r="X90" i="3"/>
  <c r="V45" i="3"/>
  <c r="W45" i="3"/>
  <c r="X45" i="3"/>
  <c r="V8" i="3"/>
  <c r="W8" i="3"/>
  <c r="X8" i="3"/>
  <c r="V46" i="3"/>
  <c r="W46" i="3"/>
  <c r="X46" i="3"/>
  <c r="V47" i="3"/>
  <c r="W47" i="3"/>
  <c r="X47" i="3"/>
  <c r="V27" i="3"/>
  <c r="W27" i="3"/>
  <c r="X27" i="3"/>
  <c r="V9" i="3"/>
  <c r="W9" i="3"/>
  <c r="X9" i="3"/>
  <c r="V48" i="3"/>
  <c r="W48" i="3"/>
  <c r="X48" i="3"/>
  <c r="V74" i="3"/>
  <c r="W74" i="3"/>
  <c r="X74" i="3"/>
  <c r="V64" i="3"/>
  <c r="W64" i="3"/>
  <c r="X64" i="3"/>
  <c r="V28" i="3"/>
  <c r="W28" i="3"/>
  <c r="X28" i="3"/>
  <c r="V75" i="3"/>
  <c r="W75" i="3"/>
  <c r="X75" i="3"/>
  <c r="V76" i="3"/>
  <c r="W76" i="3"/>
  <c r="X76" i="3"/>
  <c r="V65" i="3"/>
  <c r="M11" i="8" s="1"/>
  <c r="W65" i="3"/>
  <c r="H11" i="8" s="1"/>
  <c r="X65" i="3"/>
  <c r="C11" i="8" s="1"/>
  <c r="D11" i="8" s="1"/>
  <c r="E11" i="8" s="1"/>
  <c r="G11" i="8" s="1"/>
  <c r="V10" i="3"/>
  <c r="W10" i="3"/>
  <c r="X10" i="3"/>
  <c r="V77" i="3"/>
  <c r="W77" i="3"/>
  <c r="X77" i="3"/>
  <c r="V11" i="3"/>
  <c r="W11" i="3"/>
  <c r="X11" i="3"/>
  <c r="V49" i="3"/>
  <c r="W49" i="3"/>
  <c r="X49" i="3"/>
  <c r="V78" i="3"/>
  <c r="W78" i="3"/>
  <c r="X78" i="3"/>
  <c r="V50" i="3"/>
  <c r="W50" i="3"/>
  <c r="X50" i="3"/>
  <c r="V91" i="3"/>
  <c r="W91" i="3"/>
  <c r="X91" i="3"/>
  <c r="V51" i="3"/>
  <c r="W51" i="3"/>
  <c r="X51" i="3"/>
  <c r="V29" i="3"/>
  <c r="W29" i="3"/>
  <c r="X29" i="3"/>
  <c r="V52" i="3"/>
  <c r="W52" i="3"/>
  <c r="X52" i="3"/>
  <c r="V66" i="3"/>
  <c r="W66" i="3"/>
  <c r="X66" i="3"/>
  <c r="V53" i="3"/>
  <c r="W53" i="3"/>
  <c r="X53" i="3"/>
  <c r="V54" i="3"/>
  <c r="W54" i="3"/>
  <c r="X54" i="3"/>
  <c r="V12" i="3"/>
  <c r="W12" i="3"/>
  <c r="X12" i="3"/>
  <c r="V55" i="3"/>
  <c r="W55" i="3"/>
  <c r="X55" i="3"/>
  <c r="V13" i="3"/>
  <c r="W13" i="3"/>
  <c r="X13" i="3"/>
  <c r="V79" i="3"/>
  <c r="W79" i="3"/>
  <c r="X79" i="3"/>
  <c r="V30" i="3"/>
  <c r="W30" i="3"/>
  <c r="X30" i="3"/>
  <c r="V31" i="3"/>
  <c r="W31" i="3"/>
  <c r="X31" i="3"/>
  <c r="V32" i="3"/>
  <c r="W32" i="3"/>
  <c r="X32" i="3"/>
  <c r="V20" i="3"/>
  <c r="W20" i="3"/>
  <c r="X20" i="3"/>
  <c r="V14" i="3"/>
  <c r="W14" i="3"/>
  <c r="X14" i="3"/>
  <c r="V80" i="3"/>
  <c r="W80" i="3"/>
  <c r="X80" i="3"/>
  <c r="V56" i="3"/>
  <c r="W56" i="3"/>
  <c r="X56" i="3"/>
  <c r="V92" i="3"/>
  <c r="W92" i="3"/>
  <c r="X92" i="3"/>
  <c r="V15" i="3"/>
  <c r="W15" i="3"/>
  <c r="X15" i="3"/>
  <c r="V33" i="3"/>
  <c r="W33" i="3"/>
  <c r="X33" i="3"/>
  <c r="V93" i="3"/>
  <c r="W93" i="3"/>
  <c r="X93" i="3"/>
  <c r="V94" i="3"/>
  <c r="W94" i="3"/>
  <c r="X94" i="3"/>
  <c r="V57" i="3"/>
  <c r="W57" i="3"/>
  <c r="X57" i="3"/>
  <c r="V34" i="3"/>
  <c r="W34" i="3"/>
  <c r="X34" i="3"/>
  <c r="V35" i="3"/>
  <c r="W35" i="3"/>
  <c r="X35" i="3"/>
  <c r="V36" i="3"/>
  <c r="W36" i="3"/>
  <c r="X36" i="3"/>
  <c r="X38" i="3"/>
  <c r="W38" i="3"/>
  <c r="V38" i="3"/>
  <c r="U67" i="3"/>
  <c r="U81" i="3"/>
  <c r="U2" i="3"/>
  <c r="U3" i="3"/>
  <c r="U16" i="3"/>
  <c r="U39" i="3"/>
  <c r="U17" i="3"/>
  <c r="U40" i="3"/>
  <c r="U41" i="3"/>
  <c r="U68" i="3"/>
  <c r="U18" i="3"/>
  <c r="U4" i="3"/>
  <c r="U5" i="3"/>
  <c r="U95" i="3"/>
  <c r="U96" i="3"/>
  <c r="U58" i="3"/>
  <c r="U42" i="3"/>
  <c r="U82" i="3"/>
  <c r="U6" i="3"/>
  <c r="U19" i="3"/>
  <c r="U83" i="3"/>
  <c r="U59" i="3"/>
  <c r="U43" i="3"/>
  <c r="U60" i="3"/>
  <c r="U84" i="3"/>
  <c r="U69" i="3"/>
  <c r="U85" i="3"/>
  <c r="U70" i="3"/>
  <c r="U97" i="3"/>
  <c r="U98" i="3"/>
  <c r="U99" i="3"/>
  <c r="U100" i="3"/>
  <c r="U101" i="3"/>
  <c r="U7" i="3"/>
  <c r="U86" i="3"/>
  <c r="U71" i="3"/>
  <c r="U87" i="3"/>
  <c r="U61" i="3"/>
  <c r="U72" i="3"/>
  <c r="U21" i="3"/>
  <c r="U22" i="3"/>
  <c r="U73" i="3"/>
  <c r="U88" i="3"/>
  <c r="U89" i="3"/>
  <c r="U23" i="3"/>
  <c r="U24" i="3"/>
  <c r="U62" i="3"/>
  <c r="U25" i="3"/>
  <c r="U63" i="3"/>
  <c r="U26" i="3"/>
  <c r="U44" i="3"/>
  <c r="U90" i="3"/>
  <c r="U45" i="3"/>
  <c r="U8" i="3"/>
  <c r="U46" i="3"/>
  <c r="U47" i="3"/>
  <c r="U27" i="3"/>
  <c r="U9" i="3"/>
  <c r="U48" i="3"/>
  <c r="U74" i="3"/>
  <c r="U64" i="3"/>
  <c r="U28" i="3"/>
  <c r="U75" i="3"/>
  <c r="U76" i="3"/>
  <c r="U65" i="3"/>
  <c r="U10" i="3"/>
  <c r="U77" i="3"/>
  <c r="U11" i="3"/>
  <c r="U49" i="3"/>
  <c r="U78" i="3"/>
  <c r="U50" i="3"/>
  <c r="U91" i="3"/>
  <c r="U51" i="3"/>
  <c r="U29" i="3"/>
  <c r="U52" i="3"/>
  <c r="U66" i="3"/>
  <c r="U53" i="3"/>
  <c r="U54" i="3"/>
  <c r="U12" i="3"/>
  <c r="U55" i="3"/>
  <c r="U13" i="3"/>
  <c r="U79" i="3"/>
  <c r="U30" i="3"/>
  <c r="U31" i="3"/>
  <c r="U32" i="3"/>
  <c r="U20" i="3"/>
  <c r="U14" i="3"/>
  <c r="U80" i="3"/>
  <c r="U56" i="3"/>
  <c r="U92" i="3"/>
  <c r="U15" i="3"/>
  <c r="U33" i="3"/>
  <c r="U93" i="3"/>
  <c r="U94" i="3"/>
  <c r="U57" i="3"/>
  <c r="U34" i="3"/>
  <c r="U35" i="3"/>
  <c r="U36" i="3"/>
  <c r="U38" i="3"/>
  <c r="S67" i="3"/>
  <c r="S2" i="3"/>
  <c r="S3" i="3"/>
  <c r="S16" i="3"/>
  <c r="S39" i="3"/>
  <c r="S17" i="3"/>
  <c r="S40" i="3"/>
  <c r="S41" i="3"/>
  <c r="S68" i="3"/>
  <c r="S18" i="3"/>
  <c r="S4" i="3"/>
  <c r="S5" i="3"/>
  <c r="S95" i="3"/>
  <c r="S96" i="3"/>
  <c r="S58" i="3"/>
  <c r="C15" i="6" s="1"/>
  <c r="D15" i="6" s="1"/>
  <c r="S42" i="3"/>
  <c r="S82" i="3"/>
  <c r="S6" i="3"/>
  <c r="S19" i="3"/>
  <c r="S83" i="3"/>
  <c r="S59" i="3"/>
  <c r="S43" i="3"/>
  <c r="S60" i="3"/>
  <c r="S84" i="3"/>
  <c r="S69" i="3"/>
  <c r="S85" i="3"/>
  <c r="S70" i="3"/>
  <c r="S97" i="3"/>
  <c r="S98" i="3"/>
  <c r="S99" i="3"/>
  <c r="S100" i="3"/>
  <c r="S101" i="3"/>
  <c r="S7" i="3"/>
  <c r="S86" i="3"/>
  <c r="S71" i="3"/>
  <c r="S87" i="3"/>
  <c r="S61" i="3"/>
  <c r="S72" i="3"/>
  <c r="S21" i="3"/>
  <c r="S22" i="3"/>
  <c r="S73" i="3"/>
  <c r="S88" i="3"/>
  <c r="S89" i="3"/>
  <c r="S23" i="3"/>
  <c r="S24" i="3"/>
  <c r="S62" i="3"/>
  <c r="S25" i="3"/>
  <c r="S63" i="3"/>
  <c r="S26" i="3"/>
  <c r="S44" i="3"/>
  <c r="S90" i="3"/>
  <c r="C29" i="6" s="1"/>
  <c r="D29" i="6" s="1"/>
  <c r="S45" i="3"/>
  <c r="S8" i="3"/>
  <c r="S46" i="3"/>
  <c r="S47" i="3"/>
  <c r="S27" i="3"/>
  <c r="S9" i="3"/>
  <c r="S48" i="3"/>
  <c r="S74" i="3"/>
  <c r="S64" i="3"/>
  <c r="S28" i="3"/>
  <c r="S75" i="3"/>
  <c r="S76" i="3"/>
  <c r="S65" i="3"/>
  <c r="S10" i="3"/>
  <c r="S77" i="3"/>
  <c r="S11" i="3"/>
  <c r="S49" i="3"/>
  <c r="S78" i="3"/>
  <c r="S50" i="3"/>
  <c r="S91" i="3"/>
  <c r="S51" i="3"/>
  <c r="S29" i="3"/>
  <c r="S52" i="3"/>
  <c r="S66" i="3"/>
  <c r="S53" i="3"/>
  <c r="S54" i="3"/>
  <c r="S12" i="3"/>
  <c r="S55" i="3"/>
  <c r="S13" i="3"/>
  <c r="S79" i="3"/>
  <c r="S30" i="3"/>
  <c r="S31" i="3"/>
  <c r="S32" i="3"/>
  <c r="S20" i="3"/>
  <c r="S14" i="3"/>
  <c r="S80" i="3"/>
  <c r="S56" i="3"/>
  <c r="S92" i="3"/>
  <c r="S15" i="3"/>
  <c r="S33" i="3"/>
  <c r="S93" i="3"/>
  <c r="S94" i="3"/>
  <c r="S57" i="3"/>
  <c r="S34" i="3"/>
  <c r="S35" i="3"/>
  <c r="S36" i="3"/>
  <c r="S38" i="3"/>
  <c r="O38" i="3"/>
  <c r="O67" i="3"/>
  <c r="O81" i="3"/>
  <c r="O2" i="3"/>
  <c r="O3" i="3"/>
  <c r="O16" i="3"/>
  <c r="O39" i="3"/>
  <c r="O17" i="3"/>
  <c r="O40" i="3"/>
  <c r="O41" i="3"/>
  <c r="O68" i="3"/>
  <c r="O18" i="3"/>
  <c r="O4" i="3"/>
  <c r="O5" i="3"/>
  <c r="O95" i="3"/>
  <c r="O96" i="3"/>
  <c r="O58" i="3"/>
  <c r="O42" i="3"/>
  <c r="O82" i="3"/>
  <c r="O6" i="3"/>
  <c r="O19" i="3"/>
  <c r="O83" i="3"/>
  <c r="O59" i="3"/>
  <c r="O43" i="3"/>
  <c r="O60" i="3"/>
  <c r="O84" i="3"/>
  <c r="O69" i="3"/>
  <c r="O85" i="3"/>
  <c r="O70" i="3"/>
  <c r="O97" i="3"/>
  <c r="O98" i="3"/>
  <c r="O99" i="3"/>
  <c r="O100" i="3"/>
  <c r="O101" i="3"/>
  <c r="O7" i="3"/>
  <c r="O86" i="3"/>
  <c r="O71" i="3"/>
  <c r="O87" i="3"/>
  <c r="O61" i="3"/>
  <c r="O72" i="3"/>
  <c r="O21" i="3"/>
  <c r="O22" i="3"/>
  <c r="O73" i="3"/>
  <c r="O88" i="3"/>
  <c r="O89" i="3"/>
  <c r="O23" i="3"/>
  <c r="O24" i="3"/>
  <c r="O62" i="3"/>
  <c r="O25" i="3"/>
  <c r="O63" i="3"/>
  <c r="O26" i="3"/>
  <c r="O44" i="3"/>
  <c r="O90" i="3"/>
  <c r="O45" i="3"/>
  <c r="O8" i="3"/>
  <c r="O46" i="3"/>
  <c r="O47" i="3"/>
  <c r="O27" i="3"/>
  <c r="O9" i="3"/>
  <c r="O48" i="3"/>
  <c r="O74" i="3"/>
  <c r="O64" i="3"/>
  <c r="O28" i="3"/>
  <c r="O75" i="3"/>
  <c r="O76" i="3"/>
  <c r="O65" i="3"/>
  <c r="O10" i="3"/>
  <c r="O77" i="3"/>
  <c r="O11" i="3"/>
  <c r="O49" i="3"/>
  <c r="O78" i="3"/>
  <c r="O50" i="3"/>
  <c r="O91" i="3"/>
  <c r="O51" i="3"/>
  <c r="O29" i="3"/>
  <c r="O52" i="3"/>
  <c r="O66" i="3"/>
  <c r="O53" i="3"/>
  <c r="O54" i="3"/>
  <c r="O12" i="3"/>
  <c r="O55" i="3"/>
  <c r="O13" i="3"/>
  <c r="O79" i="3"/>
  <c r="O30" i="3"/>
  <c r="O31" i="3"/>
  <c r="O32" i="3"/>
  <c r="O20" i="3"/>
  <c r="O14" i="3"/>
  <c r="O80" i="3"/>
  <c r="O56" i="3"/>
  <c r="O92" i="3"/>
  <c r="O15" i="3"/>
  <c r="O33" i="3"/>
  <c r="O93" i="3"/>
  <c r="O94" i="3"/>
  <c r="O57" i="3"/>
  <c r="O34" i="3"/>
  <c r="O35" i="3"/>
  <c r="O36" i="3"/>
  <c r="P67" i="3"/>
  <c r="P81" i="3"/>
  <c r="P2" i="3"/>
  <c r="P3" i="3"/>
  <c r="P16" i="3"/>
  <c r="P39" i="3"/>
  <c r="P17" i="3"/>
  <c r="P40" i="3"/>
  <c r="P41" i="3"/>
  <c r="P68" i="3"/>
  <c r="P18" i="3"/>
  <c r="P4" i="3"/>
  <c r="P5" i="3"/>
  <c r="P95" i="3"/>
  <c r="P96" i="3"/>
  <c r="P58" i="3"/>
  <c r="P42" i="3"/>
  <c r="P82" i="3"/>
  <c r="P6" i="3"/>
  <c r="P19" i="3"/>
  <c r="P83" i="3"/>
  <c r="P59" i="3"/>
  <c r="P43" i="3"/>
  <c r="P60" i="3"/>
  <c r="P84" i="3"/>
  <c r="P69" i="3"/>
  <c r="P85" i="3"/>
  <c r="P70" i="3"/>
  <c r="P97" i="3"/>
  <c r="P98" i="3"/>
  <c r="P99" i="3"/>
  <c r="P100" i="3"/>
  <c r="P101" i="3"/>
  <c r="P7" i="3"/>
  <c r="P86" i="3"/>
  <c r="P71" i="3"/>
  <c r="P87" i="3"/>
  <c r="P61" i="3"/>
  <c r="P72" i="3"/>
  <c r="P21" i="3"/>
  <c r="P22" i="3"/>
  <c r="P73" i="3"/>
  <c r="P88" i="3"/>
  <c r="P89" i="3"/>
  <c r="P23" i="3"/>
  <c r="P24" i="3"/>
  <c r="P62" i="3"/>
  <c r="P25" i="3"/>
  <c r="P63" i="3"/>
  <c r="P26" i="3"/>
  <c r="P44" i="3"/>
  <c r="P90" i="3"/>
  <c r="P45" i="3"/>
  <c r="P8" i="3"/>
  <c r="P46" i="3"/>
  <c r="P47" i="3"/>
  <c r="P27" i="3"/>
  <c r="P9" i="3"/>
  <c r="P48" i="3"/>
  <c r="P74" i="3"/>
  <c r="P64" i="3"/>
  <c r="P28" i="3"/>
  <c r="P75" i="3"/>
  <c r="P76" i="3"/>
  <c r="P65" i="3"/>
  <c r="P10" i="3"/>
  <c r="P77" i="3"/>
  <c r="P11" i="3"/>
  <c r="P49" i="3"/>
  <c r="P78" i="3"/>
  <c r="P50" i="3"/>
  <c r="P91" i="3"/>
  <c r="P51" i="3"/>
  <c r="P29" i="3"/>
  <c r="P52" i="3"/>
  <c r="P66" i="3"/>
  <c r="P53" i="3"/>
  <c r="P54" i="3"/>
  <c r="P12" i="3"/>
  <c r="P55" i="3"/>
  <c r="P13" i="3"/>
  <c r="P79" i="3"/>
  <c r="P30" i="3"/>
  <c r="P31" i="3"/>
  <c r="P32" i="3"/>
  <c r="P20" i="3"/>
  <c r="P14" i="3"/>
  <c r="P80" i="3"/>
  <c r="P56" i="3"/>
  <c r="P92" i="3"/>
  <c r="P15" i="3"/>
  <c r="P33" i="3"/>
  <c r="P93" i="3"/>
  <c r="P94" i="3"/>
  <c r="P57" i="3"/>
  <c r="P34" i="3"/>
  <c r="P35" i="3"/>
  <c r="P36" i="3"/>
  <c r="Q67" i="3"/>
  <c r="Q81" i="3"/>
  <c r="Q2" i="3"/>
  <c r="Q3" i="3"/>
  <c r="Q16" i="3"/>
  <c r="Q39" i="3"/>
  <c r="Q17" i="3"/>
  <c r="Q40" i="3"/>
  <c r="Q41" i="3"/>
  <c r="Q68" i="3"/>
  <c r="Q18" i="3"/>
  <c r="Q4" i="3"/>
  <c r="Q5" i="3"/>
  <c r="Q95" i="3"/>
  <c r="Q96" i="3"/>
  <c r="Q58" i="3"/>
  <c r="Q42" i="3"/>
  <c r="Q82" i="3"/>
  <c r="Q6" i="3"/>
  <c r="Q19" i="3"/>
  <c r="Q83" i="3"/>
  <c r="Q59" i="3"/>
  <c r="Q43" i="3"/>
  <c r="Q60" i="3"/>
  <c r="C11" i="7" s="1"/>
  <c r="D11" i="7" s="1"/>
  <c r="E11" i="7" s="1"/>
  <c r="G11" i="7" s="1"/>
  <c r="Q84" i="3"/>
  <c r="Q69" i="3"/>
  <c r="Q85" i="3"/>
  <c r="Q70" i="3"/>
  <c r="Q97" i="3"/>
  <c r="Q98" i="3"/>
  <c r="Q99" i="3"/>
  <c r="Q100" i="3"/>
  <c r="Q101" i="3"/>
  <c r="Q7" i="3"/>
  <c r="Q86" i="3"/>
  <c r="Q71" i="3"/>
  <c r="Q87" i="3"/>
  <c r="Q61" i="3"/>
  <c r="Q72" i="3"/>
  <c r="Q21" i="3"/>
  <c r="Q22" i="3"/>
  <c r="Q73" i="3"/>
  <c r="Q88" i="3"/>
  <c r="Q89" i="3"/>
  <c r="Q23" i="3"/>
  <c r="Q24" i="3"/>
  <c r="Q62" i="3"/>
  <c r="Q25" i="3"/>
  <c r="Q63" i="3"/>
  <c r="Q26" i="3"/>
  <c r="Q44" i="3"/>
  <c r="Q90" i="3"/>
  <c r="Q45" i="3"/>
  <c r="Q8" i="3"/>
  <c r="Q46" i="3"/>
  <c r="Q47" i="3"/>
  <c r="Q27" i="3"/>
  <c r="Q9" i="3"/>
  <c r="Q48" i="3"/>
  <c r="Q74" i="3"/>
  <c r="Q64" i="3"/>
  <c r="Q28" i="3"/>
  <c r="Q75" i="3"/>
  <c r="Q76" i="3"/>
  <c r="Q65" i="3"/>
  <c r="Q10" i="3"/>
  <c r="Q77" i="3"/>
  <c r="Q11" i="3"/>
  <c r="Q49" i="3"/>
  <c r="Q78" i="3"/>
  <c r="Q50" i="3"/>
  <c r="Q91" i="3"/>
  <c r="Q51" i="3"/>
  <c r="Q29" i="3"/>
  <c r="Q52" i="3"/>
  <c r="Q66" i="3"/>
  <c r="Q53" i="3"/>
  <c r="Q54" i="3"/>
  <c r="Q12" i="3"/>
  <c r="Q55" i="3"/>
  <c r="Q13" i="3"/>
  <c r="Q79" i="3"/>
  <c r="Q30" i="3"/>
  <c r="Q31" i="3"/>
  <c r="Q32" i="3"/>
  <c r="Q20" i="3"/>
  <c r="Q14" i="3"/>
  <c r="Q80" i="3"/>
  <c r="Q56" i="3"/>
  <c r="Q92" i="3"/>
  <c r="Q15" i="3"/>
  <c r="Q33" i="3"/>
  <c r="Q93" i="3"/>
  <c r="Q94" i="3"/>
  <c r="Q57" i="3"/>
  <c r="Q34" i="3"/>
  <c r="Q35" i="3"/>
  <c r="Q36" i="3"/>
  <c r="P38" i="3"/>
  <c r="I67" i="3"/>
  <c r="I81" i="3"/>
  <c r="I2" i="3"/>
  <c r="I3" i="3"/>
  <c r="I16" i="3"/>
  <c r="I39" i="3"/>
  <c r="I17" i="3"/>
  <c r="I40" i="3"/>
  <c r="I41" i="3"/>
  <c r="I68" i="3"/>
  <c r="I18" i="3"/>
  <c r="I4" i="3"/>
  <c r="I5" i="3"/>
  <c r="I95" i="3"/>
  <c r="I96" i="3"/>
  <c r="I58" i="3"/>
  <c r="I42" i="3"/>
  <c r="I82" i="3"/>
  <c r="I6" i="3"/>
  <c r="I19" i="3"/>
  <c r="I83" i="3"/>
  <c r="I59" i="3"/>
  <c r="I43" i="3"/>
  <c r="I60" i="3"/>
  <c r="I84" i="3"/>
  <c r="I69" i="3"/>
  <c r="I85" i="3"/>
  <c r="I70" i="3"/>
  <c r="I97" i="3"/>
  <c r="I98" i="3"/>
  <c r="I99" i="3"/>
  <c r="I100" i="3"/>
  <c r="I101" i="3"/>
  <c r="I7" i="3"/>
  <c r="I86" i="3"/>
  <c r="I71" i="3"/>
  <c r="I87" i="3"/>
  <c r="I61" i="3"/>
  <c r="I72" i="3"/>
  <c r="I21" i="3"/>
  <c r="I22" i="3"/>
  <c r="I73" i="3"/>
  <c r="I88" i="3"/>
  <c r="I89" i="3"/>
  <c r="I23" i="3"/>
  <c r="I24" i="3"/>
  <c r="I62" i="3"/>
  <c r="I25" i="3"/>
  <c r="I63" i="3"/>
  <c r="I26" i="3"/>
  <c r="I44" i="3"/>
  <c r="I90" i="3"/>
  <c r="I45" i="3"/>
  <c r="I8" i="3"/>
  <c r="I46" i="3"/>
  <c r="I47" i="3"/>
  <c r="I27" i="3"/>
  <c r="I9" i="3"/>
  <c r="I48" i="3"/>
  <c r="I74" i="3"/>
  <c r="I64" i="3"/>
  <c r="I28" i="3"/>
  <c r="I75" i="3"/>
  <c r="I76" i="3"/>
  <c r="I65" i="3"/>
  <c r="I10" i="3"/>
  <c r="I77" i="3"/>
  <c r="I11" i="3"/>
  <c r="I49" i="3"/>
  <c r="I78" i="3"/>
  <c r="I50" i="3"/>
  <c r="I91" i="3"/>
  <c r="I51" i="3"/>
  <c r="I29" i="3"/>
  <c r="I52" i="3"/>
  <c r="I66" i="3"/>
  <c r="I53" i="3"/>
  <c r="I54" i="3"/>
  <c r="I12" i="3"/>
  <c r="I55" i="3"/>
  <c r="I13" i="3"/>
  <c r="I79" i="3"/>
  <c r="I30" i="3"/>
  <c r="I31" i="3"/>
  <c r="I32" i="3"/>
  <c r="I20" i="3"/>
  <c r="I14" i="3"/>
  <c r="I80" i="3"/>
  <c r="I56" i="3"/>
  <c r="I92" i="3"/>
  <c r="I15" i="3"/>
  <c r="I33" i="3"/>
  <c r="I93" i="3"/>
  <c r="I94" i="3"/>
  <c r="I57" i="3"/>
  <c r="I34" i="3"/>
  <c r="I35" i="3"/>
  <c r="I36" i="3"/>
  <c r="I38" i="3"/>
  <c r="J67" i="3"/>
  <c r="J81" i="3"/>
  <c r="J2" i="3"/>
  <c r="J3" i="3"/>
  <c r="J16" i="3"/>
  <c r="J39" i="3"/>
  <c r="J17" i="3"/>
  <c r="J40" i="3"/>
  <c r="J41" i="3"/>
  <c r="J68" i="3"/>
  <c r="J18" i="3"/>
  <c r="J4" i="3"/>
  <c r="J5" i="3"/>
  <c r="J95" i="3"/>
  <c r="J96" i="3"/>
  <c r="J58" i="3"/>
  <c r="J42" i="3"/>
  <c r="J82" i="3"/>
  <c r="J6" i="3"/>
  <c r="J19" i="3"/>
  <c r="J83" i="3"/>
  <c r="J59" i="3"/>
  <c r="J43" i="3"/>
  <c r="J60" i="3"/>
  <c r="J84" i="3"/>
  <c r="J69" i="3"/>
  <c r="J85" i="3"/>
  <c r="J70" i="3"/>
  <c r="J97" i="3"/>
  <c r="J98" i="3"/>
  <c r="J99" i="3"/>
  <c r="J100" i="3"/>
  <c r="J101" i="3"/>
  <c r="J7" i="3"/>
  <c r="J86" i="3"/>
  <c r="J71" i="3"/>
  <c r="J87" i="3"/>
  <c r="J61" i="3"/>
  <c r="J72" i="3"/>
  <c r="J21" i="3"/>
  <c r="J22" i="3"/>
  <c r="J73" i="3"/>
  <c r="J88" i="3"/>
  <c r="J89" i="3"/>
  <c r="J23" i="3"/>
  <c r="J24" i="3"/>
  <c r="J62" i="3"/>
  <c r="J25" i="3"/>
  <c r="J63" i="3"/>
  <c r="J26" i="3"/>
  <c r="J44" i="3"/>
  <c r="J90" i="3"/>
  <c r="J45" i="3"/>
  <c r="J8" i="3"/>
  <c r="J46" i="3"/>
  <c r="J47" i="3"/>
  <c r="J27" i="3"/>
  <c r="J9" i="3"/>
  <c r="J48" i="3"/>
  <c r="J74" i="3"/>
  <c r="J64" i="3"/>
  <c r="J28" i="3"/>
  <c r="J75" i="3"/>
  <c r="J76" i="3"/>
  <c r="J65" i="3"/>
  <c r="J10" i="3"/>
  <c r="J77" i="3"/>
  <c r="J11" i="3"/>
  <c r="J49" i="3"/>
  <c r="J78" i="3"/>
  <c r="J50" i="3"/>
  <c r="J91" i="3"/>
  <c r="J51" i="3"/>
  <c r="J29" i="3"/>
  <c r="J52" i="3"/>
  <c r="J66" i="3"/>
  <c r="J53" i="3"/>
  <c r="J54" i="3"/>
  <c r="J12" i="3"/>
  <c r="J55" i="3"/>
  <c r="J13" i="3"/>
  <c r="J79" i="3"/>
  <c r="J30" i="3"/>
  <c r="J31" i="3"/>
  <c r="J32" i="3"/>
  <c r="J20" i="3"/>
  <c r="J14" i="3"/>
  <c r="J80" i="3"/>
  <c r="J56" i="3"/>
  <c r="J92" i="3"/>
  <c r="J15" i="3"/>
  <c r="J33" i="3"/>
  <c r="J93" i="3"/>
  <c r="J94" i="3"/>
  <c r="J57" i="3"/>
  <c r="J34" i="3"/>
  <c r="J35" i="3"/>
  <c r="J36" i="3"/>
  <c r="J38" i="3"/>
  <c r="K67" i="3"/>
  <c r="K81" i="3"/>
  <c r="K2" i="3"/>
  <c r="K3" i="3"/>
  <c r="K16" i="3"/>
  <c r="K39" i="3"/>
  <c r="K17" i="3"/>
  <c r="K40" i="3"/>
  <c r="K41" i="3"/>
  <c r="K68" i="3"/>
  <c r="K18" i="3"/>
  <c r="K4" i="3"/>
  <c r="K5" i="3"/>
  <c r="K95" i="3"/>
  <c r="K96" i="3"/>
  <c r="K58" i="3"/>
  <c r="K42" i="3"/>
  <c r="K82" i="3"/>
  <c r="K6" i="3"/>
  <c r="K19" i="3"/>
  <c r="K83" i="3"/>
  <c r="K59" i="3"/>
  <c r="K43" i="3"/>
  <c r="K60" i="3"/>
  <c r="K84" i="3"/>
  <c r="K69" i="3"/>
  <c r="K85" i="3"/>
  <c r="K70" i="3"/>
  <c r="K97" i="3"/>
  <c r="K98" i="3"/>
  <c r="K99" i="3"/>
  <c r="K100" i="3"/>
  <c r="K101" i="3"/>
  <c r="K7" i="3"/>
  <c r="K86" i="3"/>
  <c r="K71" i="3"/>
  <c r="K87" i="3"/>
  <c r="K61" i="3"/>
  <c r="K72" i="3"/>
  <c r="K21" i="3"/>
  <c r="K22" i="3"/>
  <c r="K73" i="3"/>
  <c r="K88" i="3"/>
  <c r="K89" i="3"/>
  <c r="K23" i="3"/>
  <c r="K24" i="3"/>
  <c r="K62" i="3"/>
  <c r="K25" i="3"/>
  <c r="K63" i="3"/>
  <c r="K26" i="3"/>
  <c r="K44" i="3"/>
  <c r="K90" i="3"/>
  <c r="K45" i="3"/>
  <c r="K8" i="3"/>
  <c r="K46" i="3"/>
  <c r="K47" i="3"/>
  <c r="K27" i="3"/>
  <c r="K9" i="3"/>
  <c r="K48" i="3"/>
  <c r="K74" i="3"/>
  <c r="K64" i="3"/>
  <c r="K28" i="3"/>
  <c r="K75" i="3"/>
  <c r="K76" i="3"/>
  <c r="K65" i="3"/>
  <c r="K10" i="3"/>
  <c r="K77" i="3"/>
  <c r="K11" i="3"/>
  <c r="K49" i="3"/>
  <c r="K78" i="3"/>
  <c r="K50" i="3"/>
  <c r="K91" i="3"/>
  <c r="K51" i="3"/>
  <c r="K29" i="3"/>
  <c r="K52" i="3"/>
  <c r="K66" i="3"/>
  <c r="K53" i="3"/>
  <c r="K54" i="3"/>
  <c r="K12" i="3"/>
  <c r="K55" i="3"/>
  <c r="K13" i="3"/>
  <c r="K79" i="3"/>
  <c r="K30" i="3"/>
  <c r="K31" i="3"/>
  <c r="K32" i="3"/>
  <c r="K20" i="3"/>
  <c r="K14" i="3"/>
  <c r="K80" i="3"/>
  <c r="K56" i="3"/>
  <c r="K92" i="3"/>
  <c r="K15" i="3"/>
  <c r="K33" i="3"/>
  <c r="K93" i="3"/>
  <c r="K94" i="3"/>
  <c r="K57" i="3"/>
  <c r="K34" i="3"/>
  <c r="K35" i="3"/>
  <c r="K36" i="3"/>
  <c r="K38" i="3"/>
  <c r="L67" i="3"/>
  <c r="L81" i="3"/>
  <c r="L2" i="3"/>
  <c r="L3" i="3"/>
  <c r="L16" i="3"/>
  <c r="L39" i="3"/>
  <c r="L17" i="3"/>
  <c r="L40" i="3"/>
  <c r="L41" i="3"/>
  <c r="L68" i="3"/>
  <c r="L18" i="3"/>
  <c r="L4" i="3"/>
  <c r="L5" i="3"/>
  <c r="L95" i="3"/>
  <c r="L96" i="3"/>
  <c r="L58" i="3"/>
  <c r="L42" i="3"/>
  <c r="L82" i="3"/>
  <c r="L6" i="3"/>
  <c r="L19" i="3"/>
  <c r="L83" i="3"/>
  <c r="L59" i="3"/>
  <c r="L43" i="3"/>
  <c r="L60" i="3"/>
  <c r="L84" i="3"/>
  <c r="L69" i="3"/>
  <c r="L85" i="3"/>
  <c r="L70" i="3"/>
  <c r="L97" i="3"/>
  <c r="L98" i="3"/>
  <c r="L99" i="3"/>
  <c r="L100" i="3"/>
  <c r="L101" i="3"/>
  <c r="L7" i="3"/>
  <c r="L86" i="3"/>
  <c r="L71" i="3"/>
  <c r="L87" i="3"/>
  <c r="L61" i="3"/>
  <c r="L72" i="3"/>
  <c r="L21" i="3"/>
  <c r="L22" i="3"/>
  <c r="L73" i="3"/>
  <c r="L88" i="3"/>
  <c r="L89" i="3"/>
  <c r="L23" i="3"/>
  <c r="L24" i="3"/>
  <c r="L62" i="3"/>
  <c r="L25" i="3"/>
  <c r="L63" i="3"/>
  <c r="L26" i="3"/>
  <c r="L44" i="3"/>
  <c r="L90" i="3"/>
  <c r="L45" i="3"/>
  <c r="L8" i="3"/>
  <c r="L46" i="3"/>
  <c r="L47" i="3"/>
  <c r="L27" i="3"/>
  <c r="L9" i="3"/>
  <c r="L48" i="3"/>
  <c r="L74" i="3"/>
  <c r="L64" i="3"/>
  <c r="L28" i="3"/>
  <c r="L75" i="3"/>
  <c r="L76" i="3"/>
  <c r="L65" i="3"/>
  <c r="L10" i="3"/>
  <c r="L77" i="3"/>
  <c r="L11" i="3"/>
  <c r="L49" i="3"/>
  <c r="L78" i="3"/>
  <c r="L50" i="3"/>
  <c r="L91" i="3"/>
  <c r="L51" i="3"/>
  <c r="L29" i="3"/>
  <c r="L52" i="3"/>
  <c r="L66" i="3"/>
  <c r="L53" i="3"/>
  <c r="L54" i="3"/>
  <c r="L12" i="3"/>
  <c r="L55" i="3"/>
  <c r="L13" i="3"/>
  <c r="L79" i="3"/>
  <c r="L30" i="3"/>
  <c r="L31" i="3"/>
  <c r="L32" i="3"/>
  <c r="L20" i="3"/>
  <c r="L14" i="3"/>
  <c r="L80" i="3"/>
  <c r="L56" i="3"/>
  <c r="L92" i="3"/>
  <c r="L15" i="3"/>
  <c r="L33" i="3"/>
  <c r="L93" i="3"/>
  <c r="L94" i="3"/>
  <c r="L57" i="3"/>
  <c r="L34" i="3"/>
  <c r="L35" i="3"/>
  <c r="L36" i="3"/>
  <c r="L38" i="3"/>
  <c r="M38" i="3"/>
  <c r="Z67" i="3"/>
  <c r="Z81" i="3"/>
  <c r="Z2" i="3"/>
  <c r="Z3" i="3"/>
  <c r="Z16" i="3"/>
  <c r="Z46" i="3"/>
  <c r="Z47" i="3"/>
  <c r="Z27" i="3"/>
  <c r="Z39" i="3"/>
  <c r="Z17" i="3"/>
  <c r="Z9" i="3"/>
  <c r="Z40" i="3"/>
  <c r="Z41" i="3"/>
  <c r="Z48" i="3"/>
  <c r="Z74" i="3"/>
  <c r="Z68" i="3"/>
  <c r="Z18" i="3"/>
  <c r="Z4" i="3"/>
  <c r="Z64" i="3"/>
  <c r="Z5" i="3"/>
  <c r="Z28" i="3"/>
  <c r="Z75" i="3"/>
  <c r="D30" i="4" s="1"/>
  <c r="E30" i="4" s="1"/>
  <c r="G30" i="4" s="1"/>
  <c r="Z95" i="3"/>
  <c r="Z76" i="3"/>
  <c r="Z96" i="3"/>
  <c r="Z65" i="3"/>
  <c r="Z58" i="3"/>
  <c r="D33" i="4" s="1"/>
  <c r="E33" i="4" s="1"/>
  <c r="G33" i="4" s="1"/>
  <c r="Z10" i="3"/>
  <c r="Z42" i="3"/>
  <c r="Z82" i="3"/>
  <c r="Z6" i="3"/>
  <c r="Z77" i="3"/>
  <c r="Z11" i="3"/>
  <c r="Z19" i="3"/>
  <c r="Z49" i="3"/>
  <c r="Z78" i="3"/>
  <c r="Z50" i="3"/>
  <c r="Z91" i="3"/>
  <c r="Z83" i="3"/>
  <c r="Z59" i="3"/>
  <c r="D49" i="4" s="1"/>
  <c r="E49" i="4" s="1"/>
  <c r="G49" i="4" s="1"/>
  <c r="Z51" i="3"/>
  <c r="Z43" i="3"/>
  <c r="Z60" i="3"/>
  <c r="D34" i="4" s="1"/>
  <c r="E34" i="4" s="1"/>
  <c r="G34" i="4" s="1"/>
  <c r="Z84" i="3"/>
  <c r="D10" i="4" s="1"/>
  <c r="E10" i="4" s="1"/>
  <c r="G10" i="4" s="1"/>
  <c r="Z69" i="3"/>
  <c r="Z85" i="3"/>
  <c r="Z70" i="3"/>
  <c r="D28" i="4" s="1"/>
  <c r="E28" i="4" s="1"/>
  <c r="G28" i="4" s="1"/>
  <c r="Z29" i="3"/>
  <c r="Z52" i="3"/>
  <c r="Z66" i="3"/>
  <c r="D50" i="4" s="1"/>
  <c r="E50" i="4" s="1"/>
  <c r="G50" i="4" s="1"/>
  <c r="Z97" i="3"/>
  <c r="Z98" i="3"/>
  <c r="Z99" i="3"/>
  <c r="Z100" i="3"/>
  <c r="Z101" i="3"/>
  <c r="Z7" i="3"/>
  <c r="Z86" i="3"/>
  <c r="D42" i="4" s="1"/>
  <c r="E42" i="4" s="1"/>
  <c r="G42" i="4" s="1"/>
  <c r="Z53" i="3"/>
  <c r="Z54" i="3"/>
  <c r="Z71" i="3"/>
  <c r="D39" i="4" s="1"/>
  <c r="E39" i="4" s="1"/>
  <c r="G39" i="4" s="1"/>
  <c r="Z12" i="3"/>
  <c r="Z55" i="3"/>
  <c r="Z13" i="3"/>
  <c r="Z79" i="3"/>
  <c r="D43" i="4" s="1"/>
  <c r="E43" i="4" s="1"/>
  <c r="G43" i="4" s="1"/>
  <c r="Z87" i="3"/>
  <c r="Z30" i="3"/>
  <c r="Z31" i="3"/>
  <c r="Z61" i="3"/>
  <c r="Z72" i="3"/>
  <c r="Z32" i="3"/>
  <c r="Z20" i="3"/>
  <c r="D18" i="4" s="1"/>
  <c r="E18" i="4" s="1"/>
  <c r="G18" i="4" s="1"/>
  <c r="Z21" i="3"/>
  <c r="Z22" i="3"/>
  <c r="Z73" i="3"/>
  <c r="Z88" i="3"/>
  <c r="Z14" i="3"/>
  <c r="D7" i="4" s="1"/>
  <c r="E7" i="4" s="1"/>
  <c r="G7" i="4" s="1"/>
  <c r="Z80" i="3"/>
  <c r="Z56" i="3"/>
  <c r="Z92" i="3"/>
  <c r="Z89" i="3"/>
  <c r="Z23" i="3"/>
  <c r="Z15" i="3"/>
  <c r="Z24" i="3"/>
  <c r="Z62" i="3"/>
  <c r="Z25" i="3"/>
  <c r="Z33" i="3"/>
  <c r="Z93" i="3"/>
  <c r="D41" i="4" s="1"/>
  <c r="E41" i="4" s="1"/>
  <c r="G41" i="4" s="1"/>
  <c r="Z94" i="3"/>
  <c r="Z63" i="3"/>
  <c r="D32" i="4" s="1"/>
  <c r="E32" i="4" s="1"/>
  <c r="G32" i="4" s="1"/>
  <c r="Z26" i="3"/>
  <c r="Z44" i="3"/>
  <c r="Z57" i="3"/>
  <c r="Z90" i="3"/>
  <c r="Z45" i="3"/>
  <c r="Z34" i="3"/>
  <c r="Z35" i="3"/>
  <c r="Z36" i="3"/>
  <c r="Z8" i="3"/>
  <c r="Z38" i="3"/>
  <c r="M97" i="3"/>
  <c r="M98" i="3"/>
  <c r="M100" i="3"/>
  <c r="M101" i="3"/>
  <c r="M67" i="3"/>
  <c r="M81" i="3"/>
  <c r="M2" i="3"/>
  <c r="M3" i="3"/>
  <c r="M16" i="3"/>
  <c r="M46" i="3"/>
  <c r="M47" i="3"/>
  <c r="M27" i="3"/>
  <c r="M39" i="3"/>
  <c r="M17" i="3"/>
  <c r="M9" i="3"/>
  <c r="M40" i="3"/>
  <c r="M41" i="3"/>
  <c r="M48" i="3"/>
  <c r="M74" i="3"/>
  <c r="M68" i="3"/>
  <c r="M4" i="3"/>
  <c r="M18" i="3"/>
  <c r="M5" i="3"/>
  <c r="M75" i="3"/>
  <c r="M95" i="3"/>
  <c r="M28" i="3"/>
  <c r="M76" i="3"/>
  <c r="M65" i="3"/>
  <c r="M58" i="3"/>
  <c r="M10" i="3"/>
  <c r="M42" i="3"/>
  <c r="M82" i="3"/>
  <c r="M6" i="3"/>
  <c r="M77" i="3"/>
  <c r="M11" i="3"/>
  <c r="M19" i="3"/>
  <c r="M49" i="3"/>
  <c r="M78" i="3"/>
  <c r="M50" i="3"/>
  <c r="M91" i="3"/>
  <c r="M83" i="3"/>
  <c r="M51" i="3"/>
  <c r="M43" i="3"/>
  <c r="M60" i="3"/>
  <c r="C9" i="5" s="1"/>
  <c r="D9" i="5" s="1"/>
  <c r="M84" i="3"/>
  <c r="M69" i="3"/>
  <c r="M85" i="3"/>
  <c r="M70" i="3"/>
  <c r="M29" i="3"/>
  <c r="M52" i="3"/>
  <c r="M99" i="3"/>
  <c r="M7" i="3"/>
  <c r="M86" i="3"/>
  <c r="M53" i="3"/>
  <c r="M54" i="3"/>
  <c r="M71" i="3"/>
  <c r="M12" i="3"/>
  <c r="M55" i="3"/>
  <c r="M13" i="3"/>
  <c r="M79" i="3"/>
  <c r="M87" i="3"/>
  <c r="M30" i="3"/>
  <c r="M31" i="3"/>
  <c r="M72" i="3"/>
  <c r="M32" i="3"/>
  <c r="M20" i="3"/>
  <c r="M21" i="3"/>
  <c r="M22" i="3"/>
  <c r="M73" i="3"/>
  <c r="M88" i="3"/>
  <c r="M14" i="3"/>
  <c r="M80" i="3"/>
  <c r="M92" i="3"/>
  <c r="M89" i="3"/>
  <c r="M23" i="3"/>
  <c r="M15" i="3"/>
  <c r="M24" i="3"/>
  <c r="M25" i="3"/>
  <c r="M33" i="3"/>
  <c r="M93" i="3"/>
  <c r="M94" i="3"/>
  <c r="M63" i="3"/>
  <c r="C10" i="5" s="1"/>
  <c r="D10" i="5" s="1"/>
  <c r="M26" i="3"/>
  <c r="M44" i="3"/>
  <c r="M57" i="3"/>
  <c r="M90" i="3"/>
  <c r="M45" i="3"/>
  <c r="M34" i="3"/>
  <c r="M35" i="3"/>
  <c r="M36" i="3"/>
  <c r="M8" i="3"/>
  <c r="M62" i="3"/>
  <c r="M66" i="3"/>
  <c r="M64" i="3"/>
  <c r="M59" i="3"/>
  <c r="M61" i="3"/>
  <c r="M96" i="3"/>
  <c r="F24" i="1"/>
  <c r="F70" i="1"/>
  <c r="F64" i="1"/>
  <c r="F62" i="1"/>
  <c r="F21" i="1"/>
  <c r="F68" i="1"/>
  <c r="F23" i="1"/>
  <c r="F2" i="1"/>
  <c r="F9" i="1"/>
  <c r="F8" i="1"/>
  <c r="F26" i="1"/>
  <c r="F31" i="1"/>
  <c r="F22" i="1"/>
  <c r="F34" i="1"/>
  <c r="F33" i="1"/>
  <c r="F35" i="1"/>
  <c r="F30" i="1"/>
  <c r="F28" i="1"/>
  <c r="F20" i="1"/>
  <c r="F4" i="1"/>
  <c r="F3" i="1"/>
  <c r="F10" i="1"/>
  <c r="F5" i="1"/>
  <c r="F25" i="1"/>
  <c r="F29" i="1"/>
  <c r="F38" i="1"/>
  <c r="F39" i="1"/>
  <c r="F46" i="1"/>
  <c r="F44" i="1"/>
  <c r="F45" i="1"/>
  <c r="F42" i="1"/>
  <c r="F41" i="1"/>
  <c r="F36" i="1"/>
  <c r="F32" i="1"/>
  <c r="F48" i="1"/>
  <c r="F40" i="1"/>
  <c r="F58" i="1"/>
  <c r="F7" i="1"/>
  <c r="F37" i="1"/>
  <c r="F49" i="1"/>
  <c r="F72" i="1"/>
  <c r="F55" i="1"/>
  <c r="F63" i="1"/>
  <c r="F47" i="1"/>
  <c r="F59" i="1"/>
  <c r="F43" i="1"/>
  <c r="F69" i="1"/>
  <c r="F73" i="1"/>
  <c r="F66" i="1"/>
  <c r="F71" i="1"/>
  <c r="F61" i="1"/>
  <c r="F11" i="1"/>
  <c r="F53" i="1"/>
  <c r="F77" i="1"/>
  <c r="F76" i="1"/>
  <c r="F74" i="1"/>
  <c r="F6" i="1"/>
  <c r="B7" i="12" l="1"/>
  <c r="B8" i="12"/>
  <c r="B2" i="12"/>
  <c r="B3" i="12"/>
  <c r="B4" i="12"/>
  <c r="C5" i="2"/>
  <c r="D5" i="2" s="1"/>
  <c r="E5" i="2" s="1"/>
  <c r="F5" i="2" s="1"/>
  <c r="F2" i="2"/>
  <c r="H2" i="2"/>
  <c r="H4" i="2"/>
  <c r="C23" i="2"/>
  <c r="D23" i="2" s="1"/>
  <c r="E23" i="2" s="1"/>
  <c r="H23" i="2" s="1"/>
  <c r="C7" i="2"/>
  <c r="B7" i="2" s="1"/>
  <c r="F17" i="1"/>
  <c r="C21" i="2" s="1"/>
  <c r="B21" i="2" s="1"/>
  <c r="C10" i="2"/>
  <c r="B10" i="2" s="1"/>
  <c r="C16" i="2"/>
  <c r="B16" i="2" s="1"/>
  <c r="C8" i="2"/>
  <c r="B8" i="2" s="1"/>
  <c r="C13" i="2"/>
  <c r="B13" i="2" s="1"/>
  <c r="D13" i="2" s="1"/>
  <c r="E13" i="2" s="1"/>
  <c r="C6" i="2"/>
  <c r="C4" i="7"/>
  <c r="D4" i="7" s="1"/>
  <c r="E4" i="7" s="1"/>
  <c r="G4" i="7" s="1"/>
  <c r="H4" i="7"/>
  <c r="M4" i="7"/>
  <c r="D35" i="4"/>
  <c r="E35" i="4" s="1"/>
  <c r="G35" i="4" s="1"/>
  <c r="H7" i="8"/>
  <c r="M23" i="8"/>
  <c r="H8" i="7"/>
  <c r="C6" i="9"/>
  <c r="D6" i="9" s="1"/>
  <c r="E6" i="9" s="1"/>
  <c r="G6" i="9" s="1"/>
  <c r="M4" i="9"/>
  <c r="C10" i="7"/>
  <c r="D10" i="7" s="1"/>
  <c r="E10" i="7" s="1"/>
  <c r="G10" i="7" s="1"/>
  <c r="H3" i="7"/>
  <c r="H15" i="7"/>
  <c r="H17" i="8"/>
  <c r="C2" i="8"/>
  <c r="D2" i="8" s="1"/>
  <c r="E2" i="8" s="1"/>
  <c r="G2" i="8" s="1"/>
  <c r="C2" i="9"/>
  <c r="D2" i="9" s="1"/>
  <c r="E2" i="9" s="1"/>
  <c r="M9" i="7"/>
  <c r="M8" i="7"/>
  <c r="M2" i="7"/>
  <c r="C5" i="8"/>
  <c r="D5" i="8" s="1"/>
  <c r="E5" i="8" s="1"/>
  <c r="G5" i="8" s="1"/>
  <c r="M7" i="8"/>
  <c r="M19" i="8"/>
  <c r="M8" i="9"/>
  <c r="C6" i="7"/>
  <c r="D6" i="7" s="1"/>
  <c r="E6" i="7" s="1"/>
  <c r="G6" i="7" s="1"/>
  <c r="M16" i="7"/>
  <c r="C3" i="9"/>
  <c r="D3" i="9" s="1"/>
  <c r="E3" i="9" s="1"/>
  <c r="G3" i="9" s="1"/>
  <c r="H6" i="9"/>
  <c r="R8" i="9"/>
  <c r="R4" i="9"/>
  <c r="C14" i="7"/>
  <c r="D14" i="7" s="1"/>
  <c r="E14" i="7" s="1"/>
  <c r="G14" i="7" s="1"/>
  <c r="H2" i="7"/>
  <c r="H6" i="7"/>
  <c r="M5" i="7"/>
  <c r="H10" i="8"/>
  <c r="M5" i="8"/>
  <c r="H9" i="8"/>
  <c r="C15" i="8"/>
  <c r="D15" i="8" s="1"/>
  <c r="E15" i="8" s="1"/>
  <c r="G15" i="8" s="1"/>
  <c r="M18" i="8"/>
  <c r="H12" i="8"/>
  <c r="C3" i="8"/>
  <c r="D3" i="8" s="1"/>
  <c r="E3" i="8" s="1"/>
  <c r="G3" i="8" s="1"/>
  <c r="H6" i="8"/>
  <c r="H2" i="9"/>
  <c r="H5" i="9"/>
  <c r="M7" i="9"/>
  <c r="R3" i="9"/>
  <c r="C12" i="7"/>
  <c r="D12" i="7" s="1"/>
  <c r="E12" i="7" s="1"/>
  <c r="G12" i="7" s="1"/>
  <c r="H7" i="7"/>
  <c r="H13" i="7"/>
  <c r="M11" i="7"/>
  <c r="M10" i="7"/>
  <c r="M12" i="7"/>
  <c r="C10" i="8"/>
  <c r="D10" i="8" s="1"/>
  <c r="E10" i="8" s="1"/>
  <c r="G10" i="8" s="1"/>
  <c r="M9" i="8"/>
  <c r="C23" i="8"/>
  <c r="D23" i="8" s="1"/>
  <c r="E23" i="8" s="1"/>
  <c r="G23" i="8" s="1"/>
  <c r="H15" i="8"/>
  <c r="M12" i="8"/>
  <c r="H3" i="8"/>
  <c r="M6" i="8"/>
  <c r="R6" i="9"/>
  <c r="H8" i="9"/>
  <c r="H4" i="9"/>
  <c r="H12" i="7"/>
  <c r="C9" i="7"/>
  <c r="D9" i="7" s="1"/>
  <c r="E9" i="7" s="1"/>
  <c r="G9" i="7" s="1"/>
  <c r="C16" i="7"/>
  <c r="D16" i="7" s="1"/>
  <c r="E16" i="7" s="1"/>
  <c r="G16" i="7" s="1"/>
  <c r="C8" i="7"/>
  <c r="D8" i="7" s="1"/>
  <c r="E8" i="7" s="1"/>
  <c r="G8" i="7" s="1"/>
  <c r="C2" i="7"/>
  <c r="D2" i="7" s="1"/>
  <c r="E2" i="7" s="1"/>
  <c r="G2" i="7" s="1"/>
  <c r="H14" i="7"/>
  <c r="M6" i="7"/>
  <c r="C18" i="6"/>
  <c r="D18" i="6" s="1"/>
  <c r="C7" i="8"/>
  <c r="D7" i="8" s="1"/>
  <c r="E7" i="8" s="1"/>
  <c r="G7" i="8" s="1"/>
  <c r="I7" i="8" s="1"/>
  <c r="J7" i="8" s="1"/>
  <c r="L7" i="8" s="1"/>
  <c r="C13" i="8"/>
  <c r="D13" i="8" s="1"/>
  <c r="E13" i="8" s="1"/>
  <c r="G13" i="8" s="1"/>
  <c r="H23" i="8"/>
  <c r="H2" i="8"/>
  <c r="I2" i="8" s="1"/>
  <c r="J2" i="8" s="1"/>
  <c r="L2" i="8" s="1"/>
  <c r="C17" i="8"/>
  <c r="D17" i="8" s="1"/>
  <c r="E17" i="8" s="1"/>
  <c r="G17" i="8" s="1"/>
  <c r="I17" i="8" s="1"/>
  <c r="J17" i="8" s="1"/>
  <c r="L17" i="8" s="1"/>
  <c r="N17" i="8" s="1"/>
  <c r="M15" i="8"/>
  <c r="C19" i="8"/>
  <c r="D19" i="8" s="1"/>
  <c r="E19" i="8" s="1"/>
  <c r="G19" i="8" s="1"/>
  <c r="M3" i="8"/>
  <c r="H5" i="8"/>
  <c r="C9" i="8"/>
  <c r="D9" i="8" s="1"/>
  <c r="E9" i="8" s="1"/>
  <c r="G9" i="8" s="1"/>
  <c r="C5" i="9"/>
  <c r="D5" i="9" s="1"/>
  <c r="E5" i="9" s="1"/>
  <c r="G5" i="9" s="1"/>
  <c r="H5" i="7"/>
  <c r="C7" i="9"/>
  <c r="D7" i="9" s="1"/>
  <c r="E7" i="9" s="1"/>
  <c r="G7" i="9" s="1"/>
  <c r="M6" i="9"/>
  <c r="C15" i="7"/>
  <c r="D15" i="7" s="1"/>
  <c r="E15" i="7" s="1"/>
  <c r="G15" i="7" s="1"/>
  <c r="M7" i="7"/>
  <c r="M3" i="9"/>
  <c r="H3" i="9"/>
  <c r="C3" i="7"/>
  <c r="D3" i="7" s="1"/>
  <c r="E3" i="7" s="1"/>
  <c r="G3" i="7" s="1"/>
  <c r="M13" i="7"/>
  <c r="H13" i="8"/>
  <c r="H19" i="8"/>
  <c r="M2" i="9"/>
  <c r="M5" i="9"/>
  <c r="R7" i="9"/>
  <c r="C5" i="7"/>
  <c r="D5" i="7" s="1"/>
  <c r="E5" i="7" s="1"/>
  <c r="G5" i="7" s="1"/>
  <c r="H9" i="7"/>
  <c r="H16" i="7"/>
  <c r="M14" i="7"/>
  <c r="M13" i="8"/>
  <c r="C4" i="8"/>
  <c r="D4" i="8" s="1"/>
  <c r="E4" i="8" s="1"/>
  <c r="G4" i="8" s="1"/>
  <c r="C14" i="8"/>
  <c r="D14" i="8" s="1"/>
  <c r="E14" i="8" s="1"/>
  <c r="G14" i="8" s="1"/>
  <c r="H4" i="8"/>
  <c r="C8" i="8"/>
  <c r="D8" i="8" s="1"/>
  <c r="E8" i="8" s="1"/>
  <c r="G8" i="8" s="1"/>
  <c r="H14" i="8"/>
  <c r="C18" i="8"/>
  <c r="D18" i="8" s="1"/>
  <c r="E18" i="8" s="1"/>
  <c r="G18" i="8" s="1"/>
  <c r="M4" i="8"/>
  <c r="H8" i="8"/>
  <c r="H7" i="9"/>
  <c r="C8" i="9"/>
  <c r="D8" i="9" s="1"/>
  <c r="E8" i="9" s="1"/>
  <c r="G8" i="9" s="1"/>
  <c r="C4" i="9"/>
  <c r="D4" i="9" s="1"/>
  <c r="E4" i="9" s="1"/>
  <c r="G4" i="9" s="1"/>
  <c r="R2" i="9"/>
  <c r="R5" i="9"/>
  <c r="C7" i="7"/>
  <c r="D7" i="7" s="1"/>
  <c r="E7" i="7" s="1"/>
  <c r="G7" i="7" s="1"/>
  <c r="I7" i="7" s="1"/>
  <c r="J7" i="7" s="1"/>
  <c r="L7" i="7" s="1"/>
  <c r="C13" i="7"/>
  <c r="D13" i="7" s="1"/>
  <c r="E13" i="7" s="1"/>
  <c r="G13" i="7" s="1"/>
  <c r="H11" i="7"/>
  <c r="I11" i="7" s="1"/>
  <c r="J11" i="7" s="1"/>
  <c r="L11" i="7" s="1"/>
  <c r="H10" i="7"/>
  <c r="M3" i="7"/>
  <c r="M15" i="7"/>
  <c r="M10" i="8"/>
  <c r="M2" i="8"/>
  <c r="M14" i="8"/>
  <c r="H18" i="8"/>
  <c r="C12" i="8"/>
  <c r="D12" i="8" s="1"/>
  <c r="E12" i="8" s="1"/>
  <c r="G12" i="8" s="1"/>
  <c r="C6" i="8"/>
  <c r="D6" i="8" s="1"/>
  <c r="E6" i="8" s="1"/>
  <c r="G6" i="8" s="1"/>
  <c r="M8" i="8"/>
  <c r="I16" i="8"/>
  <c r="J16" i="8" s="1"/>
  <c r="L16" i="8" s="1"/>
  <c r="N16" i="8" s="1"/>
  <c r="I11" i="8"/>
  <c r="J11" i="8" s="1"/>
  <c r="L11" i="8" s="1"/>
  <c r="N11" i="8" s="1"/>
  <c r="I23" i="8"/>
  <c r="J23" i="8" s="1"/>
  <c r="L23" i="8" s="1"/>
  <c r="N23" i="8" s="1"/>
  <c r="G2" i="9"/>
  <c r="L2" i="9"/>
  <c r="C28" i="6"/>
  <c r="D28" i="6" s="1"/>
  <c r="C21" i="6"/>
  <c r="D21" i="6" s="1"/>
  <c r="C27" i="6"/>
  <c r="D27" i="6" s="1"/>
  <c r="C26" i="6"/>
  <c r="D26" i="6" s="1"/>
  <c r="C14" i="6"/>
  <c r="D14" i="6" s="1"/>
  <c r="C4" i="6"/>
  <c r="D4" i="6" s="1"/>
  <c r="C2" i="6"/>
  <c r="D2" i="6" s="1"/>
  <c r="C20" i="6"/>
  <c r="D20" i="6" s="1"/>
  <c r="C10" i="6"/>
  <c r="D10" i="6" s="1"/>
  <c r="C31" i="6"/>
  <c r="D31" i="6" s="1"/>
  <c r="C16" i="6"/>
  <c r="D16" i="6" s="1"/>
  <c r="C9" i="6"/>
  <c r="D9" i="6" s="1"/>
  <c r="C25" i="6"/>
  <c r="D25" i="6" s="1"/>
  <c r="C23" i="6"/>
  <c r="D23" i="6" s="1"/>
  <c r="C12" i="6"/>
  <c r="D12" i="6" s="1"/>
  <c r="C8" i="6"/>
  <c r="D8" i="6" s="1"/>
  <c r="C30" i="6"/>
  <c r="D30" i="6" s="1"/>
  <c r="C19" i="6"/>
  <c r="D19" i="6" s="1"/>
  <c r="C7" i="6"/>
  <c r="D7" i="6" s="1"/>
  <c r="C22" i="6"/>
  <c r="D22" i="6" s="1"/>
  <c r="C13" i="6"/>
  <c r="D13" i="6" s="1"/>
  <c r="C6" i="6"/>
  <c r="D6" i="6" s="1"/>
  <c r="C5" i="6"/>
  <c r="D5" i="6" s="1"/>
  <c r="C24" i="6"/>
  <c r="D24" i="6" s="1"/>
  <c r="C17" i="6"/>
  <c r="D17" i="6" s="1"/>
  <c r="C11" i="6"/>
  <c r="D11" i="6" s="1"/>
  <c r="C3" i="6"/>
  <c r="D3" i="6" s="1"/>
  <c r="C25" i="5"/>
  <c r="D25" i="5" s="1"/>
  <c r="C4" i="5"/>
  <c r="D4" i="5" s="1"/>
  <c r="C15" i="5"/>
  <c r="D15" i="5" s="1"/>
  <c r="C27" i="5"/>
  <c r="D27" i="5" s="1"/>
  <c r="C32" i="5"/>
  <c r="D32" i="5" s="1"/>
  <c r="C31" i="5"/>
  <c r="D31" i="5" s="1"/>
  <c r="C5" i="5"/>
  <c r="D5" i="5" s="1"/>
  <c r="C21" i="5"/>
  <c r="D21" i="5" s="1"/>
  <c r="C29" i="5"/>
  <c r="D29" i="5" s="1"/>
  <c r="C16" i="5"/>
  <c r="D16" i="5" s="1"/>
  <c r="C14" i="5"/>
  <c r="D14" i="5" s="1"/>
  <c r="C28" i="5"/>
  <c r="D28" i="5" s="1"/>
  <c r="C26" i="5"/>
  <c r="D26" i="5" s="1"/>
  <c r="C20" i="5"/>
  <c r="D20" i="5" s="1"/>
  <c r="C19" i="5"/>
  <c r="D19" i="5" s="1"/>
  <c r="C3" i="5"/>
  <c r="D3" i="5" s="1"/>
  <c r="C2" i="5"/>
  <c r="D2" i="5" s="1"/>
  <c r="C22" i="5"/>
  <c r="D22" i="5" s="1"/>
  <c r="C7" i="5"/>
  <c r="D7" i="5" s="1"/>
  <c r="C13" i="5"/>
  <c r="D13" i="5" s="1"/>
  <c r="C23" i="5"/>
  <c r="D23" i="5" s="1"/>
  <c r="C17" i="5"/>
  <c r="D17" i="5" s="1"/>
  <c r="C6" i="5"/>
  <c r="D6" i="5" s="1"/>
  <c r="C8" i="5"/>
  <c r="D8" i="5" s="1"/>
  <c r="C34" i="5"/>
  <c r="D34" i="5" s="1"/>
  <c r="C30" i="5"/>
  <c r="D30" i="5" s="1"/>
  <c r="C33" i="5"/>
  <c r="D33" i="5" s="1"/>
  <c r="C12" i="5"/>
  <c r="D12" i="5" s="1"/>
  <c r="C18" i="5"/>
  <c r="D18" i="5" s="1"/>
  <c r="C11" i="5"/>
  <c r="D11" i="5" s="1"/>
  <c r="C35" i="5"/>
  <c r="D35" i="5" s="1"/>
  <c r="C24" i="5"/>
  <c r="D24" i="5" s="1"/>
  <c r="D26" i="4"/>
  <c r="E26" i="4" s="1"/>
  <c r="G26" i="4" s="1"/>
  <c r="D31" i="4"/>
  <c r="E31" i="4" s="1"/>
  <c r="G31" i="4" s="1"/>
  <c r="D16" i="4"/>
  <c r="E16" i="4" s="1"/>
  <c r="G16" i="4" s="1"/>
  <c r="D8" i="4"/>
  <c r="E8" i="4" s="1"/>
  <c r="G8" i="4" s="1"/>
  <c r="D6" i="4"/>
  <c r="E6" i="4" s="1"/>
  <c r="G6" i="4" s="1"/>
  <c r="D4" i="4"/>
  <c r="E4" i="4" s="1"/>
  <c r="G4" i="4" s="1"/>
  <c r="D12" i="4"/>
  <c r="E12" i="4" s="1"/>
  <c r="G12" i="4" s="1"/>
  <c r="D48" i="4"/>
  <c r="E48" i="4" s="1"/>
  <c r="G48" i="4" s="1"/>
  <c r="D47" i="4"/>
  <c r="E47" i="4" s="1"/>
  <c r="G47" i="4" s="1"/>
  <c r="D11" i="4"/>
  <c r="E11" i="4" s="1"/>
  <c r="G11" i="4" s="1"/>
  <c r="D37" i="4"/>
  <c r="E37" i="4" s="1"/>
  <c r="G37" i="4" s="1"/>
  <c r="D38" i="4"/>
  <c r="E38" i="4" s="1"/>
  <c r="G38" i="4" s="1"/>
  <c r="D45" i="4"/>
  <c r="E45" i="4" s="1"/>
  <c r="G45" i="4" s="1"/>
  <c r="D19" i="4"/>
  <c r="E19" i="4" s="1"/>
  <c r="G19" i="4" s="1"/>
  <c r="D29" i="4"/>
  <c r="E29" i="4" s="1"/>
  <c r="G29" i="4" s="1"/>
  <c r="D14" i="4"/>
  <c r="E14" i="4" s="1"/>
  <c r="G14" i="4" s="1"/>
  <c r="D3" i="4"/>
  <c r="E3" i="4" s="1"/>
  <c r="G3" i="4" s="1"/>
  <c r="D40" i="4"/>
  <c r="E40" i="4" s="1"/>
  <c r="G40" i="4" s="1"/>
  <c r="D23" i="4"/>
  <c r="E23" i="4" s="1"/>
  <c r="G23" i="4" s="1"/>
  <c r="D44" i="4"/>
  <c r="E44" i="4" s="1"/>
  <c r="G44" i="4" s="1"/>
  <c r="D25" i="4"/>
  <c r="E25" i="4" s="1"/>
  <c r="G25" i="4" s="1"/>
  <c r="D24" i="4"/>
  <c r="E24" i="4" s="1"/>
  <c r="G24" i="4" s="1"/>
  <c r="D17" i="4"/>
  <c r="E17" i="4" s="1"/>
  <c r="G17" i="4" s="1"/>
  <c r="D22" i="4"/>
  <c r="E22" i="4" s="1"/>
  <c r="G22" i="4" s="1"/>
  <c r="D27" i="4"/>
  <c r="E27" i="4" s="1"/>
  <c r="G27" i="4" s="1"/>
  <c r="D20" i="4"/>
  <c r="E20" i="4" s="1"/>
  <c r="G20" i="4" s="1"/>
  <c r="D36" i="4"/>
  <c r="E36" i="4" s="1"/>
  <c r="G36" i="4" s="1"/>
  <c r="D5" i="4"/>
  <c r="E5" i="4" s="1"/>
  <c r="G5" i="4" s="1"/>
  <c r="D9" i="4"/>
  <c r="E9" i="4" s="1"/>
  <c r="G9" i="4" s="1"/>
  <c r="D21" i="4"/>
  <c r="E21" i="4" s="1"/>
  <c r="G21" i="4" s="1"/>
  <c r="D2" i="4"/>
  <c r="E2" i="4" s="1"/>
  <c r="G2" i="4" s="1"/>
  <c r="D13" i="4"/>
  <c r="E13" i="4" s="1"/>
  <c r="G13" i="4" s="1"/>
  <c r="D15" i="4"/>
  <c r="E15" i="4" s="1"/>
  <c r="G15" i="4" s="1"/>
  <c r="D46" i="4"/>
  <c r="E46" i="4" s="1"/>
  <c r="G46" i="4" s="1"/>
  <c r="C17" i="2"/>
  <c r="C18" i="2"/>
  <c r="C22" i="2"/>
  <c r="B22" i="2" s="1"/>
  <c r="C26" i="2"/>
  <c r="C24" i="2"/>
  <c r="C12" i="2"/>
  <c r="C19" i="2"/>
  <c r="C15" i="2"/>
  <c r="C20" i="2"/>
  <c r="B20" i="2" s="1"/>
  <c r="C27" i="2"/>
  <c r="D27" i="2" s="1"/>
  <c r="E27" i="2" s="1"/>
  <c r="C25" i="2"/>
  <c r="C11" i="2"/>
  <c r="C9" i="2"/>
  <c r="D9" i="2" s="1"/>
  <c r="E9" i="2" s="1"/>
  <c r="C14" i="2"/>
  <c r="D14" i="2" s="1"/>
  <c r="E14" i="2" s="1"/>
  <c r="B5" i="12" l="1"/>
  <c r="H5" i="2"/>
  <c r="G2" i="2"/>
  <c r="D7" i="2"/>
  <c r="E7" i="2" s="1"/>
  <c r="F7" i="2" s="1"/>
  <c r="D10" i="2"/>
  <c r="E10" i="2" s="1"/>
  <c r="H10" i="2" s="1"/>
  <c r="D16" i="2"/>
  <c r="E16" i="2" s="1"/>
  <c r="F16" i="2" s="1"/>
  <c r="D8" i="2"/>
  <c r="E8" i="2" s="1"/>
  <c r="F8" i="2" s="1"/>
  <c r="B25" i="2"/>
  <c r="D25" i="2" s="1"/>
  <c r="E25" i="2" s="1"/>
  <c r="B24" i="2"/>
  <c r="D24" i="2" s="1"/>
  <c r="E24" i="2" s="1"/>
  <c r="B18" i="2"/>
  <c r="D18" i="2" s="1"/>
  <c r="E18" i="2" s="1"/>
  <c r="B6" i="2"/>
  <c r="D6" i="2" s="1"/>
  <c r="E6" i="2" s="1"/>
  <c r="F6" i="2" s="1"/>
  <c r="B11" i="2"/>
  <c r="D11" i="2" s="1"/>
  <c r="E11" i="2" s="1"/>
  <c r="B17" i="2"/>
  <c r="D17" i="2" s="1"/>
  <c r="E17" i="2" s="1"/>
  <c r="F17" i="2" s="1"/>
  <c r="I14" i="8"/>
  <c r="J14" i="8" s="1"/>
  <c r="L14" i="8" s="1"/>
  <c r="I6" i="7"/>
  <c r="J6" i="7" s="1"/>
  <c r="L6" i="7" s="1"/>
  <c r="I12" i="8"/>
  <c r="J12" i="8" s="1"/>
  <c r="L12" i="8" s="1"/>
  <c r="N12" i="8" s="1"/>
  <c r="I2" i="7"/>
  <c r="J2" i="7" s="1"/>
  <c r="L2" i="7" s="1"/>
  <c r="N2" i="7" s="1"/>
  <c r="I4" i="7"/>
  <c r="J4" i="7" s="1"/>
  <c r="L4" i="7" s="1"/>
  <c r="N4" i="7" s="1"/>
  <c r="I8" i="8"/>
  <c r="J8" i="8" s="1"/>
  <c r="L8" i="8" s="1"/>
  <c r="N8" i="8" s="1"/>
  <c r="I6" i="8"/>
  <c r="J6" i="8" s="1"/>
  <c r="L6" i="8" s="1"/>
  <c r="N6" i="8" s="1"/>
  <c r="I5" i="7"/>
  <c r="J5" i="7" s="1"/>
  <c r="L5" i="7" s="1"/>
  <c r="N5" i="7" s="1"/>
  <c r="I8" i="7"/>
  <c r="J8" i="7" s="1"/>
  <c r="L8" i="7" s="1"/>
  <c r="N8" i="7" s="1"/>
  <c r="I6" i="9"/>
  <c r="J6" i="9" s="1"/>
  <c r="L6" i="9" s="1"/>
  <c r="N6" i="9" s="1"/>
  <c r="O6" i="9" s="1"/>
  <c r="Q6" i="9" s="1"/>
  <c r="S6" i="9" s="1"/>
  <c r="I10" i="8"/>
  <c r="J10" i="8" s="1"/>
  <c r="L10" i="8" s="1"/>
  <c r="N10" i="8" s="1"/>
  <c r="I9" i="8"/>
  <c r="J9" i="8" s="1"/>
  <c r="L9" i="8" s="1"/>
  <c r="N9" i="8" s="1"/>
  <c r="I5" i="8"/>
  <c r="J5" i="8" s="1"/>
  <c r="L5" i="8" s="1"/>
  <c r="N5" i="8" s="1"/>
  <c r="N2" i="8"/>
  <c r="N14" i="8"/>
  <c r="I5" i="9"/>
  <c r="J5" i="9" s="1"/>
  <c r="L5" i="9" s="1"/>
  <c r="N5" i="9" s="1"/>
  <c r="O5" i="9" s="1"/>
  <c r="Q5" i="9" s="1"/>
  <c r="S5" i="9" s="1"/>
  <c r="I15" i="8"/>
  <c r="J15" i="8" s="1"/>
  <c r="L15" i="8" s="1"/>
  <c r="N15" i="8" s="1"/>
  <c r="I7" i="9"/>
  <c r="J7" i="9" s="1"/>
  <c r="L7" i="9" s="1"/>
  <c r="N7" i="9" s="1"/>
  <c r="O7" i="9" s="1"/>
  <c r="Q7" i="9" s="1"/>
  <c r="S7" i="9" s="1"/>
  <c r="N7" i="7"/>
  <c r="N11" i="7"/>
  <c r="I13" i="7"/>
  <c r="I10" i="7"/>
  <c r="J10" i="7" s="1"/>
  <c r="L10" i="7" s="1"/>
  <c r="N10" i="7" s="1"/>
  <c r="I15" i="7"/>
  <c r="J15" i="7" s="1"/>
  <c r="L15" i="7" s="1"/>
  <c r="N15" i="7" s="1"/>
  <c r="I8" i="9"/>
  <c r="J8" i="9" s="1"/>
  <c r="L8" i="9" s="1"/>
  <c r="N8" i="9" s="1"/>
  <c r="O8" i="9" s="1"/>
  <c r="Q8" i="9" s="1"/>
  <c r="S8" i="9" s="1"/>
  <c r="I3" i="7"/>
  <c r="J3" i="7" s="1"/>
  <c r="L3" i="7" s="1"/>
  <c r="N3" i="7" s="1"/>
  <c r="I4" i="9"/>
  <c r="J4" i="9" s="1"/>
  <c r="L4" i="9" s="1"/>
  <c r="N4" i="9" s="1"/>
  <c r="O4" i="9" s="1"/>
  <c r="Q4" i="9" s="1"/>
  <c r="S4" i="9" s="1"/>
  <c r="I4" i="8"/>
  <c r="J4" i="8" s="1"/>
  <c r="L4" i="8" s="1"/>
  <c r="N4" i="8" s="1"/>
  <c r="N7" i="8"/>
  <c r="I13" i="8"/>
  <c r="J13" i="8" s="1"/>
  <c r="L13" i="8" s="1"/>
  <c r="N13" i="8" s="1"/>
  <c r="I9" i="7"/>
  <c r="J9" i="7" s="1"/>
  <c r="L9" i="7" s="1"/>
  <c r="N9" i="7" s="1"/>
  <c r="I12" i="7"/>
  <c r="I14" i="7"/>
  <c r="J14" i="7" s="1"/>
  <c r="L14" i="7" s="1"/>
  <c r="N14" i="7" s="1"/>
  <c r="N6" i="7"/>
  <c r="I19" i="8"/>
  <c r="J19" i="8" s="1"/>
  <c r="L19" i="8" s="1"/>
  <c r="N19" i="8" s="1"/>
  <c r="I18" i="8"/>
  <c r="J18" i="8" s="1"/>
  <c r="L18" i="8" s="1"/>
  <c r="N18" i="8" s="1"/>
  <c r="I3" i="9"/>
  <c r="J3" i="9" s="1"/>
  <c r="L3" i="9" s="1"/>
  <c r="N3" i="9" s="1"/>
  <c r="O3" i="9" s="1"/>
  <c r="Q3" i="9" s="1"/>
  <c r="S3" i="9" s="1"/>
  <c r="N2" i="9"/>
  <c r="O2" i="9" s="1"/>
  <c r="Q2" i="9" s="1"/>
  <c r="S2" i="9" s="1"/>
  <c r="I16" i="7"/>
  <c r="J16" i="7" s="1"/>
  <c r="L16" i="7" s="1"/>
  <c r="N16" i="7" s="1"/>
  <c r="I3" i="8"/>
  <c r="J3" i="8" s="1"/>
  <c r="L3" i="8" s="1"/>
  <c r="N3" i="8" s="1"/>
  <c r="D22" i="2"/>
  <c r="E22" i="2" s="1"/>
  <c r="F23" i="2"/>
  <c r="F13" i="2"/>
  <c r="D26" i="2"/>
  <c r="E26" i="2" s="1"/>
  <c r="D21" i="2"/>
  <c r="E21" i="2" s="1"/>
  <c r="D20" i="2"/>
  <c r="E20" i="2" s="1"/>
  <c r="D12" i="2"/>
  <c r="E12" i="2" s="1"/>
  <c r="H7" i="2" s="1"/>
  <c r="D15" i="2"/>
  <c r="E15" i="2" s="1"/>
  <c r="D19" i="2"/>
  <c r="E19" i="2" s="1"/>
  <c r="H16" i="2" l="1"/>
  <c r="H8" i="2"/>
  <c r="H12" i="2"/>
  <c r="J13" i="7"/>
  <c r="L13" i="7" s="1"/>
  <c r="N13" i="7" s="1"/>
  <c r="J12" i="7"/>
  <c r="L12" i="7" s="1"/>
  <c r="N12" i="7" s="1"/>
  <c r="F22" i="2"/>
  <c r="H22" i="2"/>
  <c r="H27" i="2"/>
  <c r="H15" i="2"/>
  <c r="H26" i="2"/>
  <c r="H6" i="2"/>
  <c r="H25" i="2"/>
  <c r="H14" i="2"/>
  <c r="H18" i="2"/>
  <c r="H21" i="2"/>
  <c r="H19" i="2"/>
  <c r="H11" i="2"/>
  <c r="H17" i="2"/>
  <c r="H20" i="2"/>
  <c r="H24" i="2"/>
  <c r="H13" i="2"/>
  <c r="H28" i="2"/>
  <c r="H9" i="2"/>
  <c r="F10" i="2"/>
  <c r="F26" i="2"/>
  <c r="F18" i="2"/>
  <c r="F21" i="2"/>
  <c r="F15" i="2"/>
  <c r="F12" i="2"/>
  <c r="F19" i="2"/>
  <c r="F20" i="2"/>
  <c r="F24" i="2"/>
  <c r="F25" i="2"/>
  <c r="F27" i="2"/>
  <c r="F11" i="2"/>
  <c r="F14" i="2"/>
  <c r="F9" i="2"/>
  <c r="D3" i="2"/>
  <c r="E3" i="2"/>
  <c r="I28" i="2" s="1"/>
  <c r="H3" i="2" l="1"/>
  <c r="F3" i="2"/>
  <c r="G18" i="2" l="1"/>
  <c r="G16" i="2"/>
  <c r="G19" i="2"/>
  <c r="G3" i="2"/>
  <c r="G24" i="2"/>
  <c r="G8" i="2"/>
  <c r="G7" i="2"/>
  <c r="I23" i="2"/>
  <c r="G5" i="2"/>
  <c r="G21" i="2"/>
  <c r="G4" i="2"/>
  <c r="G17" i="2"/>
  <c r="G20" i="2"/>
  <c r="G11" i="2"/>
  <c r="G28" i="2"/>
  <c r="G9" i="2"/>
  <c r="G26" i="2"/>
  <c r="G10" i="2"/>
  <c r="G12" i="2"/>
  <c r="G13" i="2"/>
  <c r="G14" i="2"/>
  <c r="G6" i="2"/>
  <c r="G27" i="2"/>
  <c r="G15" i="2"/>
  <c r="G22" i="2"/>
  <c r="G25" i="2"/>
  <c r="G23" i="2"/>
  <c r="K23" i="2" l="1"/>
  <c r="J23" i="2"/>
</calcChain>
</file>

<file path=xl/sharedStrings.xml><?xml version="1.0" encoding="utf-8"?>
<sst xmlns="http://schemas.openxmlformats.org/spreadsheetml/2006/main" count="2876" uniqueCount="524">
  <si>
    <t>дань хэн</t>
  </si>
  <si>
    <t>арлан</t>
  </si>
  <si>
    <t>аста</t>
  </si>
  <si>
    <t>м7</t>
  </si>
  <si>
    <t>герта</t>
  </si>
  <si>
    <t>сервал</t>
  </si>
  <si>
    <t>наташа</t>
  </si>
  <si>
    <t>пела</t>
  </si>
  <si>
    <t>сампо</t>
  </si>
  <si>
    <t>хук</t>
  </si>
  <si>
    <t>тинъюнь</t>
  </si>
  <si>
    <t>сушан</t>
  </si>
  <si>
    <t>юйкун</t>
  </si>
  <si>
    <t>лука</t>
  </si>
  <si>
    <t>рысь</t>
  </si>
  <si>
    <t>гвен</t>
  </si>
  <si>
    <t>ханья</t>
  </si>
  <si>
    <t>сюэи</t>
  </si>
  <si>
    <t>миша</t>
  </si>
  <si>
    <t>галлах</t>
  </si>
  <si>
    <t>химеко</t>
  </si>
  <si>
    <t>вельт</t>
  </si>
  <si>
    <t>броня</t>
  </si>
  <si>
    <t>зеле</t>
  </si>
  <si>
    <t>гепард</t>
  </si>
  <si>
    <t>клара</t>
  </si>
  <si>
    <t>яньцин</t>
  </si>
  <si>
    <t>байлу</t>
  </si>
  <si>
    <t>цзин юань</t>
  </si>
  <si>
    <t>волк</t>
  </si>
  <si>
    <t>лоча</t>
  </si>
  <si>
    <t>блэйд</t>
  </si>
  <si>
    <t>кафка</t>
  </si>
  <si>
    <t>пож лун</t>
  </si>
  <si>
    <t>фу сюань</t>
  </si>
  <si>
    <t>цзинлю</t>
  </si>
  <si>
    <t>топаз</t>
  </si>
  <si>
    <t>хохо</t>
  </si>
  <si>
    <t>аргенти</t>
  </si>
  <si>
    <t>жуань</t>
  </si>
  <si>
    <t>рацио</t>
  </si>
  <si>
    <t>лебедь</t>
  </si>
  <si>
    <t>искорка</t>
  </si>
  <si>
    <t>ахерон</t>
  </si>
  <si>
    <t>авантюрин</t>
  </si>
  <si>
    <t>зарянка</t>
  </si>
  <si>
    <t>бутхилл</t>
  </si>
  <si>
    <t>светлячок</t>
  </si>
  <si>
    <t>яшма</t>
  </si>
  <si>
    <t>юньли</t>
  </si>
  <si>
    <t>цзяоцю</t>
  </si>
  <si>
    <t>Пылающее сердце</t>
  </si>
  <si>
    <t>Усмиряющий талисман</t>
  </si>
  <si>
    <t>Снежный рог</t>
  </si>
  <si>
    <t>Глаз бури</t>
  </si>
  <si>
    <t>Электрическая корона тени прошлого</t>
  </si>
  <si>
    <t>Сломанные зубы железного волка</t>
  </si>
  <si>
    <t>Золотая корона тени прошлого</t>
  </si>
  <si>
    <t>Призрачный пропуск</t>
  </si>
  <si>
    <t>Холодильник грёз</t>
  </si>
  <si>
    <t>Разрешение на работу КММ</t>
  </si>
  <si>
    <t>цинцюэ</t>
  </si>
  <si>
    <t>Чугун пустоты</t>
  </si>
  <si>
    <t>Эндотермический хитин</t>
  </si>
  <si>
    <t>Обезьяний шип</t>
  </si>
  <si>
    <t>Гелидный хитин</t>
  </si>
  <si>
    <t>Раскалённое лезвие</t>
  </si>
  <si>
    <t>Прах вознёсшейся</t>
  </si>
  <si>
    <t>Огнемёт грёз</t>
  </si>
  <si>
    <t>Электрический посох оборотня</t>
  </si>
  <si>
    <t>р</t>
  </si>
  <si>
    <t>талант</t>
  </si>
  <si>
    <t>атака</t>
  </si>
  <si>
    <t>навык</t>
  </si>
  <si>
    <t>ульта</t>
  </si>
  <si>
    <t>Монцзе</t>
  </si>
  <si>
    <t>фейсяо</t>
  </si>
  <si>
    <t>Гвоздь звериного гроба</t>
  </si>
  <si>
    <t>Бокал пьяных времен</t>
  </si>
  <si>
    <t>линша</t>
  </si>
  <si>
    <t>Раппа</t>
  </si>
  <si>
    <t>Аккордный мираж</t>
  </si>
  <si>
    <t>Сандей</t>
  </si>
  <si>
    <t>Альбедо</t>
  </si>
  <si>
    <t>Аль-Хайтам</t>
  </si>
  <si>
    <t>Арлекино</t>
  </si>
  <si>
    <t>Аяка</t>
  </si>
  <si>
    <t>Аято</t>
  </si>
  <si>
    <t>Бай Чжу</t>
  </si>
  <si>
    <t>Барбара</t>
  </si>
  <si>
    <t>Беннет</t>
  </si>
  <si>
    <t>Бэй Доу</t>
  </si>
  <si>
    <t>Венти</t>
  </si>
  <si>
    <t>Гань Юй</t>
  </si>
  <si>
    <t>Горо</t>
  </si>
  <si>
    <t>Джинн</t>
  </si>
  <si>
    <t>Дилюк</t>
  </si>
  <si>
    <t>Диона</t>
  </si>
  <si>
    <t>Дори</t>
  </si>
  <si>
    <t>Дэхья</t>
  </si>
  <si>
    <t>Еимия</t>
  </si>
  <si>
    <t>Е Лань</t>
  </si>
  <si>
    <t>Итто</t>
  </si>
  <si>
    <t>Кавех</t>
  </si>
  <si>
    <t>Кадзуха</t>
  </si>
  <si>
    <t>Ка Мин</t>
  </si>
  <si>
    <t>Кандакия</t>
  </si>
  <si>
    <t>Качина</t>
  </si>
  <si>
    <t>Кинич</t>
  </si>
  <si>
    <t>Кирара</t>
  </si>
  <si>
    <t>Кли</t>
  </si>
  <si>
    <t>Клоринда</t>
  </si>
  <si>
    <t>Кокоми</t>
  </si>
  <si>
    <t>Коллеи</t>
  </si>
  <si>
    <t>Куки Синобу</t>
  </si>
  <si>
    <t>Кэ Цин</t>
  </si>
  <si>
    <t>Кэйа</t>
  </si>
  <si>
    <t>Лайла</t>
  </si>
  <si>
    <t>Лиза</t>
  </si>
  <si>
    <t>Линетт</t>
  </si>
  <si>
    <t>Лини</t>
  </si>
  <si>
    <t>Мика</t>
  </si>
  <si>
    <t>Мона</t>
  </si>
  <si>
    <t>Муалани</t>
  </si>
  <si>
    <t>Навия</t>
  </si>
  <si>
    <t>Нахида</t>
  </si>
  <si>
    <t>Невиллет</t>
  </si>
  <si>
    <t>Нилу</t>
  </si>
  <si>
    <t>Нин Гуан</t>
  </si>
  <si>
    <t>Ноэлль</t>
  </si>
  <si>
    <t>Ризли</t>
  </si>
  <si>
    <t>Розария</t>
  </si>
  <si>
    <t>Рэйзор</t>
  </si>
  <si>
    <t>Сайно</t>
  </si>
  <si>
    <t>Сара</t>
  </si>
  <si>
    <t>Сахароза</t>
  </si>
  <si>
    <t>Саю</t>
  </si>
  <si>
    <t>Сетос</t>
  </si>
  <si>
    <t>Сиджвин</t>
  </si>
  <si>
    <t>Син Цю</t>
  </si>
  <si>
    <t>Синь Янь</t>
  </si>
  <si>
    <t>Сян Лин</t>
  </si>
  <si>
    <t>Сянь Юнь</t>
  </si>
  <si>
    <t>Сяо</t>
  </si>
  <si>
    <t>Тарталья</t>
  </si>
  <si>
    <t>Тигнари</t>
  </si>
  <si>
    <t>Тиори</t>
  </si>
  <si>
    <t>Тома</t>
  </si>
  <si>
    <t>Фарузан</t>
  </si>
  <si>
    <t>Фишль</t>
  </si>
  <si>
    <t>Фремине</t>
  </si>
  <si>
    <t>Ху Тао</t>
  </si>
  <si>
    <t>Хэйдзо</t>
  </si>
  <si>
    <t>Ци Ци</t>
  </si>
  <si>
    <t>Чжун Ли</t>
  </si>
  <si>
    <t>Чун Юнь</t>
  </si>
  <si>
    <t>Шарлотта</t>
  </si>
  <si>
    <t>Шеврез</t>
  </si>
  <si>
    <t>Шилонен</t>
  </si>
  <si>
    <t>Шэнь Хэ</t>
  </si>
  <si>
    <t>Элой</t>
  </si>
  <si>
    <t>Эмбер</t>
  </si>
  <si>
    <t>Эмилия</t>
  </si>
  <si>
    <t>Эола</t>
  </si>
  <si>
    <t>Юнь Цзинь</t>
  </si>
  <si>
    <t>Янь Фэй</t>
  </si>
  <si>
    <t>Яо Яо</t>
  </si>
  <si>
    <t>Яэ Мико</t>
  </si>
  <si>
    <t>Часка</t>
  </si>
  <si>
    <t>Оророн</t>
  </si>
  <si>
    <t>Путешественник</t>
  </si>
  <si>
    <t>Райдэн</t>
  </si>
  <si>
    <t>Странник</t>
  </si>
  <si>
    <t>Фурина</t>
  </si>
  <si>
    <t>редкость</t>
  </si>
  <si>
    <t>возвышение</t>
  </si>
  <si>
    <t>материал босса</t>
  </si>
  <si>
    <t>колво</t>
  </si>
  <si>
    <t>Фуга</t>
  </si>
  <si>
    <t>Иансан</t>
  </si>
  <si>
    <t>Мавуика</t>
  </si>
  <si>
    <t>Ситлали</t>
  </si>
  <si>
    <t>Капитано</t>
  </si>
  <si>
    <t>материал прокачки</t>
  </si>
  <si>
    <t>книга талантов</t>
  </si>
  <si>
    <t>диковинка</t>
  </si>
  <si>
    <t>количество</t>
  </si>
  <si>
    <t>талант 1</t>
  </si>
  <si>
    <t>талант 2</t>
  </si>
  <si>
    <t>талант 3</t>
  </si>
  <si>
    <t>стихия</t>
  </si>
  <si>
    <t>Дендро</t>
  </si>
  <si>
    <t>Гео</t>
  </si>
  <si>
    <t>Пиро</t>
  </si>
  <si>
    <t>Крио</t>
  </si>
  <si>
    <t>Гидро</t>
  </si>
  <si>
    <t>Электро</t>
  </si>
  <si>
    <t>Анемо</t>
  </si>
  <si>
    <t>Трава–светяшка</t>
  </si>
  <si>
    <t>Сесилия</t>
  </si>
  <si>
    <t>Семена одуванчика</t>
  </si>
  <si>
    <t>Лилия калла</t>
  </si>
  <si>
    <t>Грибы филанемо</t>
  </si>
  <si>
    <t>Волчий крюк</t>
  </si>
  <si>
    <t>Ветряная астра</t>
  </si>
  <si>
    <t>Валяшка</t>
  </si>
  <si>
    <t>Шелковица</t>
  </si>
  <si>
    <t>Цветок цинсинь</t>
  </si>
  <si>
    <t>Стеклянные колокольчики</t>
  </si>
  <si>
    <t>Полуночный нефрит</t>
  </si>
  <si>
    <t>Глазурная лилия</t>
  </si>
  <si>
    <t>Кор ляпис</t>
  </si>
  <si>
    <t>Звёздная ракушка</t>
  </si>
  <si>
    <t>Заоблачный перчик</t>
  </si>
  <si>
    <t>Светящийся гриб</t>
  </si>
  <si>
    <t>Плод облачной травы</t>
  </si>
  <si>
    <t>Жемчужина Санго</t>
  </si>
  <si>
    <t>Кровоцвет</t>
  </si>
  <si>
    <t>Оникабуто</t>
  </si>
  <si>
    <t>Сакура</t>
  </si>
  <si>
    <t>Кристальный костный мозг</t>
  </si>
  <si>
    <t>Трава наку</t>
  </si>
  <si>
    <t>Морской гриб</t>
  </si>
  <si>
    <t>Тришираит</t>
  </si>
  <si>
    <t>Цветы скорби</t>
  </si>
  <si>
    <t>Личинка песчаного жировика</t>
  </si>
  <si>
    <t>Красноплодник</t>
  </si>
  <si>
    <t>Золотой скарабей</t>
  </si>
  <si>
    <t>Падисара</t>
  </si>
  <si>
    <t>Лотос нилотпала</t>
  </si>
  <si>
    <t>Грибы руккхашава</t>
  </si>
  <si>
    <t>Лотос кальпалата</t>
  </si>
  <si>
    <t>Нефрит чистой воды</t>
  </si>
  <si>
    <t>Источник первой воды</t>
  </si>
  <si>
    <t>Лилия озёрного света</t>
  </si>
  <si>
    <t>Миниатюрный детектор</t>
  </si>
  <si>
    <t>Тёмнозвёздник</t>
  </si>
  <si>
    <t>Берилловая ракушка</t>
  </si>
  <si>
    <t>Радужная роза</t>
  </si>
  <si>
    <t>Ламповый колокольчик</t>
  </si>
  <si>
    <t>Ромарин</t>
  </si>
  <si>
    <t>Сверкающая хризантема</t>
  </si>
  <si>
    <t>Морское перо</t>
  </si>
  <si>
    <t>Суккулент коготь завриана</t>
  </si>
  <si>
    <t>Ягода квенепа</t>
  </si>
  <si>
    <t>есть</t>
  </si>
  <si>
    <t>нужно</t>
  </si>
  <si>
    <t>осталось</t>
  </si>
  <si>
    <t>кристал 4*</t>
  </si>
  <si>
    <t>кристал 3*</t>
  </si>
  <si>
    <t>кристал 2*</t>
  </si>
  <si>
    <t>кристал 5*</t>
  </si>
  <si>
    <t>Нет</t>
  </si>
  <si>
    <t>Ядро таинственного источника с золотой надписью</t>
  </si>
  <si>
    <t>Метка связывающего благословения</t>
  </si>
  <si>
    <t>Перезревший пламегранат</t>
  </si>
  <si>
    <t>Фрагмент золотой мелодии</t>
  </si>
  <si>
    <t>Облачные доспехи</t>
  </si>
  <si>
    <t>Вода, не достигшая перехода</t>
  </si>
  <si>
    <t>Турбийон</t>
  </si>
  <si>
    <t>Рог Фонтмера</t>
  </si>
  <si>
    <t>Приговор императора</t>
  </si>
  <si>
    <t>Запасная деталь чудного механизма: Коппелиус</t>
  </si>
  <si>
    <t>Запасная деталь чудного механизма: Коппелия</t>
  </si>
  <si>
    <t>Кольцо вечного мрака</t>
  </si>
  <si>
    <t>Псевдотычинки</t>
  </si>
  <si>
    <t>Подавленная лоза</t>
  </si>
  <si>
    <t>Вечный механизм</t>
  </si>
  <si>
    <t>Светопроводящий тетраэдр</t>
  </si>
  <si>
    <t>Клюв короля плесенников</t>
  </si>
  <si>
    <t>Плод грома</t>
  </si>
  <si>
    <t>Рунический клык</t>
  </si>
  <si>
    <t>Ложный плавник Дракона глубин</t>
  </si>
  <si>
    <t>Эмблема Разрыва</t>
  </si>
  <si>
    <t>Роса отречения</t>
  </si>
  <si>
    <t>Штормовой жемчуг </t>
  </si>
  <si>
    <t>Сердце бесконечного механизма</t>
  </si>
  <si>
    <t>Тлеющая жемчужина</t>
  </si>
  <si>
    <t>Ядро марионетки</t>
  </si>
  <si>
    <t>Цветение кристалла</t>
  </si>
  <si>
    <t>Незрелый нефрит</t>
  </si>
  <si>
    <t>Пылающее семя</t>
  </si>
  <si>
    <t>Очищающее сердце</t>
  </si>
  <si>
    <t>Базальтовая колонна</t>
  </si>
  <si>
    <t>Призма молнии</t>
  </si>
  <si>
    <t>Инеевое ядро</t>
  </si>
  <si>
    <t>Семя урагана</t>
  </si>
  <si>
    <t>короны</t>
  </si>
  <si>
    <t>материал еженедельного босса</t>
  </si>
  <si>
    <t>4*</t>
  </si>
  <si>
    <t>2*</t>
  </si>
  <si>
    <t>3*</t>
  </si>
  <si>
    <t>Отрицание и вердикт</t>
  </si>
  <si>
    <t>Шелковистое перо</t>
  </si>
  <si>
    <t>Угасающая свеча</t>
  </si>
  <si>
    <t>Тёмная масса</t>
  </si>
  <si>
    <t>Тёмный глаз вихря</t>
  </si>
  <si>
    <t>Тёмная шёлковая нить</t>
  </si>
  <si>
    <t>Вечный янтарь</t>
  </si>
  <si>
    <t>Первозданный цветок оазиса</t>
  </si>
  <si>
    <t>Объявший небосвод папоротник</t>
  </si>
  <si>
    <t>Пустой колокольчик</t>
  </si>
  <si>
    <t>Зеркало Мусин</t>
  </si>
  <si>
    <t>Нити марионетки</t>
  </si>
  <si>
    <t>Смысл эонов</t>
  </si>
  <si>
    <t>Слёзы очищения божества бедствий</t>
  </si>
  <si>
    <t>Мудра зловещего генерала</t>
  </si>
  <si>
    <t>Бабочка адского пламени</t>
  </si>
  <si>
    <t>Расплавленный миг</t>
  </si>
  <si>
    <t>Пепельное сердце</t>
  </si>
  <si>
    <t>Позолоченная чешуя</t>
  </si>
  <si>
    <t>Корона лорда драконов</t>
  </si>
  <si>
    <t>Ветвь кровавой яшмы</t>
  </si>
  <si>
    <t>Тень воина</t>
  </si>
  <si>
    <t>Осколок дьявольского меча</t>
  </si>
  <si>
    <t>Рог небесного кита</t>
  </si>
  <si>
    <t>Вздох Двалина</t>
  </si>
  <si>
    <t>Коготь Двалина</t>
  </si>
  <si>
    <t>Перо из хвоста Двалина</t>
  </si>
  <si>
    <t>Шкатулка с духом Борея</t>
  </si>
  <si>
    <t>Кольцо Борея</t>
  </si>
  <si>
    <t>Хвост Борея</t>
  </si>
  <si>
    <t>Соперничество</t>
  </si>
  <si>
    <t>Сжигание</t>
  </si>
  <si>
    <t>Свобода</t>
  </si>
  <si>
    <t>Борьба</t>
  </si>
  <si>
    <t>Сложно</t>
  </si>
  <si>
    <t>Поэзия</t>
  </si>
  <si>
    <t>Процветание</t>
  </si>
  <si>
    <t>Усердие</t>
  </si>
  <si>
    <t>Золото</t>
  </si>
  <si>
    <t>Мондштадт</t>
  </si>
  <si>
    <t>Сумеру</t>
  </si>
  <si>
    <t>регион</t>
  </si>
  <si>
    <t>Фонтейн</t>
  </si>
  <si>
    <t>Инадзума</t>
  </si>
  <si>
    <t>Лиюэ</t>
  </si>
  <si>
    <t>Натлан</t>
  </si>
  <si>
    <t>Бренность</t>
  </si>
  <si>
    <t>Изящество</t>
  </si>
  <si>
    <t>Свет</t>
  </si>
  <si>
    <t>Наставления</t>
  </si>
  <si>
    <t>Остроумие</t>
  </si>
  <si>
    <t>Честность</t>
  </si>
  <si>
    <t>Справедливость</t>
  </si>
  <si>
    <t>Порядок</t>
  </si>
  <si>
    <t>Беспристрастие</t>
  </si>
  <si>
    <t>Противоречие</t>
  </si>
  <si>
    <t>Слизь слайма</t>
  </si>
  <si>
    <t>Разбитая маска</t>
  </si>
  <si>
    <t>Прочный наконечник стрелы</t>
  </si>
  <si>
    <t>Свиток божественной магии</t>
  </si>
  <si>
    <t>Печать Похитителей сокровищ</t>
  </si>
  <si>
    <t>Шеврон Фатуи</t>
  </si>
  <si>
    <t>Нектар попрыгуньи</t>
  </si>
  <si>
    <t>Гарда кагэути</t>
  </si>
  <si>
    <t>Призрачная оболочка</t>
  </si>
  <si>
    <t>Споры плесенника</t>
  </si>
  <si>
    <t>Красный шёлк</t>
  </si>
  <si>
    <t>Жемчужина иноморья</t>
  </si>
  <si>
    <t>Шестерня</t>
  </si>
  <si>
    <t>Свисток дозорного</t>
  </si>
  <si>
    <t>Клык</t>
  </si>
  <si>
    <t xml:space="preserve"> 3*</t>
  </si>
  <si>
    <t>1*</t>
  </si>
  <si>
    <t>для крафта</t>
  </si>
  <si>
    <t>может быть</t>
  </si>
  <si>
    <t>имя</t>
  </si>
  <si>
    <t>на карте</t>
  </si>
  <si>
    <t>кки</t>
  </si>
  <si>
    <t>заходы</t>
  </si>
  <si>
    <t xml:space="preserve">Анемо </t>
  </si>
  <si>
    <t>Лани</t>
  </si>
  <si>
    <t xml:space="preserve"> </t>
  </si>
  <si>
    <t>Мерцающий  рогатый гриб</t>
  </si>
  <si>
    <t>Сухой пурпурник</t>
  </si>
  <si>
    <t>Сковывающий взгляд</t>
  </si>
  <si>
    <t>Метка благословления</t>
  </si>
  <si>
    <t>великая герта</t>
  </si>
  <si>
    <t>аглая</t>
  </si>
  <si>
    <t>Название рыбы</t>
  </si>
  <si>
    <t>Регион</t>
  </si>
  <si>
    <t>необходимо</t>
  </si>
  <si>
    <t>Есть</t>
  </si>
  <si>
    <t>Осталось</t>
  </si>
  <si>
    <t>Оризия</t>
  </si>
  <si>
    <t>Глазурная оризия</t>
  </si>
  <si>
    <t>Сахарная оризия</t>
  </si>
  <si>
    <t>Голубая оризия</t>
  </si>
  <si>
    <t>Ловец зари</t>
  </si>
  <si>
    <t>Кристальная рыба</t>
  </si>
  <si>
    <t>Двоякодышащая колюшка</t>
  </si>
  <si>
    <t>Боевая колюшка</t>
  </si>
  <si>
    <t>Ядовитая колюшка</t>
  </si>
  <si>
    <t>Алый дьявол</t>
  </si>
  <si>
    <t>Снежный странник</t>
  </si>
  <si>
    <t>Золотой лжедракон</t>
  </si>
  <si>
    <t>Стальной лжедракон</t>
  </si>
  <si>
    <t>Бурая рыба–бабочка</t>
  </si>
  <si>
    <t>Пурпурная рыба–бабочка</t>
  </si>
  <si>
    <t>Чайная рыба–бабочка</t>
  </si>
  <si>
    <t>Вечная рыба-ангел</t>
  </si>
  <si>
    <t>Рыба–ангел раймэй</t>
  </si>
  <si>
    <t>Луннопёрка</t>
  </si>
  <si>
    <t>Иглоблюх</t>
  </si>
  <si>
    <t>Горький иглобрюх</t>
  </si>
  <si>
    <t>Дивдинский скат</t>
  </si>
  <si>
    <t>Фумарольный скат</t>
  </si>
  <si>
    <t>Плодовый иглобрюх</t>
  </si>
  <si>
    <t>Песчаный иглобрюх</t>
  </si>
  <si>
    <t>Вечерний иглобрюх</t>
  </si>
  <si>
    <t>Лазурная рыба–алебарда</t>
  </si>
  <si>
    <t>Нефритовая рыба–алебарда</t>
  </si>
  <si>
    <t>Марлин–алебарда</t>
  </si>
  <si>
    <t>Волнистый сердцепёрый окунь</t>
  </si>
  <si>
    <t>Пылающий сердцепёрый окунь</t>
  </si>
  <si>
    <t>РМ: Водоочиститель</t>
  </si>
  <si>
    <t>РМ: Начальная конфигурация</t>
  </si>
  <si>
    <t>РМ: Управление ситуацией</t>
  </si>
  <si>
    <t>РМ: Платиновая коллекция</t>
  </si>
  <si>
    <t>РМ: Демо</t>
  </si>
  <si>
    <t>Волнорез</t>
  </si>
  <si>
    <t>труба</t>
  </si>
  <si>
    <t>UP труба</t>
  </si>
  <si>
    <t>тени на воде</t>
  </si>
  <si>
    <t>удача</t>
  </si>
  <si>
    <t>лук–рыба</t>
  </si>
  <si>
    <t>UP лук</t>
  </si>
  <si>
    <t>Водяной персик</t>
  </si>
  <si>
    <t>РМ: Золотой лидер</t>
  </si>
  <si>
    <t>Нефритовый сердцепёрый окунь</t>
  </si>
  <si>
    <t>Псевдоакулья рыба–единорог</t>
  </si>
  <si>
    <t>Ныряющая рыба–боец стремнин</t>
  </si>
  <si>
    <t>Рыба–сонце заката</t>
  </si>
  <si>
    <t>Рыба–солнце зелёной волны</t>
  </si>
  <si>
    <t>Магмовая рыба–боец стремнин</t>
  </si>
  <si>
    <t>Цветочная рыба–боец стремнин</t>
  </si>
  <si>
    <t>Псевдофлогистоновая рыба–единорг</t>
  </si>
  <si>
    <t>лав озеро</t>
  </si>
  <si>
    <t>носорог</t>
  </si>
  <si>
    <t xml:space="preserve">путь </t>
  </si>
  <si>
    <t>Сохранение</t>
  </si>
  <si>
    <t>Изобилие</t>
  </si>
  <si>
    <t>Гармония</t>
  </si>
  <si>
    <t>Охота</t>
  </si>
  <si>
    <t>Эрудиция</t>
  </si>
  <si>
    <t>Разрушение</t>
  </si>
  <si>
    <t>Небытие</t>
  </si>
  <si>
    <t>Память</t>
  </si>
  <si>
    <t>фаэнон</t>
  </si>
  <si>
    <t>мидей</t>
  </si>
  <si>
    <t>анакса</t>
  </si>
  <si>
    <t>трибби</t>
  </si>
  <si>
    <t>цифер</t>
  </si>
  <si>
    <t>кастория</t>
  </si>
  <si>
    <t>гиацина</t>
  </si>
  <si>
    <t>келус</t>
  </si>
  <si>
    <t>глесилена</t>
  </si>
  <si>
    <t>арчер</t>
  </si>
  <si>
    <t>сэйбер</t>
  </si>
  <si>
    <t>керидра</t>
  </si>
  <si>
    <t>Предвестник раздора</t>
  </si>
  <si>
    <t>Агрессивный сгусток</t>
  </si>
  <si>
    <t>Тусклый лунный блеск</t>
  </si>
  <si>
    <t>тип</t>
  </si>
  <si>
    <t>Мнимый</t>
  </si>
  <si>
    <t>Ветер</t>
  </si>
  <si>
    <t>Физ</t>
  </si>
  <si>
    <t>Огонь</t>
  </si>
  <si>
    <t>Лёд</t>
  </si>
  <si>
    <t>Квант</t>
  </si>
  <si>
    <t>Сумеречный бутон</t>
  </si>
  <si>
    <t>талант духа</t>
  </si>
  <si>
    <t>бонус</t>
  </si>
  <si>
    <t>доп 1</t>
  </si>
  <si>
    <t>доп 2</t>
  </si>
  <si>
    <t>доп 3</t>
  </si>
  <si>
    <t>бд1 1</t>
  </si>
  <si>
    <t>бд1 2</t>
  </si>
  <si>
    <t>бд2 1</t>
  </si>
  <si>
    <t>бд2 2</t>
  </si>
  <si>
    <t>бд3 1</t>
  </si>
  <si>
    <t>бд3 2</t>
  </si>
  <si>
    <t>навык духа</t>
  </si>
  <si>
    <t>нет</t>
  </si>
  <si>
    <t>бд3 3</t>
  </si>
  <si>
    <t>материал возвышения</t>
  </si>
  <si>
    <t>материал следа</t>
  </si>
  <si>
    <t>босс следа</t>
  </si>
  <si>
    <t>Начало разрушения</t>
  </si>
  <si>
    <t>Семя бессмертия</t>
  </si>
  <si>
    <t>Старые кошмары</t>
  </si>
  <si>
    <t>Дань вежливости</t>
  </si>
  <si>
    <t>Поле битвы</t>
  </si>
  <si>
    <t>Взгляд на сумерки</t>
  </si>
  <si>
    <t>Конец мерзлоты</t>
  </si>
  <si>
    <t>Бутон</t>
  </si>
  <si>
    <t>Эссенция</t>
  </si>
  <si>
    <t>Обсидиан</t>
  </si>
  <si>
    <t>Небеса</t>
  </si>
  <si>
    <t>Песнь</t>
  </si>
  <si>
    <t>Ключ</t>
  </si>
  <si>
    <t>Эскиз</t>
  </si>
  <si>
    <t>Плод</t>
  </si>
  <si>
    <t>Росток</t>
  </si>
  <si>
    <t>Янтарь</t>
  </si>
  <si>
    <t>Страж</t>
  </si>
  <si>
    <t>Клыки</t>
  </si>
  <si>
    <t>Клинок</t>
  </si>
  <si>
    <t>Копье</t>
  </si>
  <si>
    <t>Пуля</t>
  </si>
  <si>
    <t>Желания</t>
  </si>
  <si>
    <t>Стражи</t>
  </si>
  <si>
    <t>Ядро</t>
  </si>
  <si>
    <t>Хаос</t>
  </si>
  <si>
    <t>Плоть</t>
  </si>
  <si>
    <t>Эхо</t>
  </si>
  <si>
    <t>Сны</t>
  </si>
  <si>
    <t>Амбиции</t>
  </si>
  <si>
    <t>Двигатель</t>
  </si>
  <si>
    <t>Бессмертие</t>
  </si>
  <si>
    <t>бд1 3</t>
  </si>
  <si>
    <t>бд2 3</t>
  </si>
  <si>
    <t xml:space="preserve">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</si>
</sst>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Border="1"/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1" xfId="0" applyFill="1" applyBorder="1"/>
    <xf numFmtId="17" fontId="0" fillId="0" borderId="11" xfId="0" applyNumberFormat="1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7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7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0" borderId="13" xfId="0" applyFill="1" applyBorder="1"/>
    <xf numFmtId="17" fontId="0" fillId="0" borderId="13" xfId="0" applyNumberFormat="1" applyBorder="1"/>
    <xf numFmtId="0" fontId="0" fillId="0" borderId="32" xfId="0" applyBorder="1"/>
    <xf numFmtId="0" fontId="0" fillId="0" borderId="33" xfId="0" applyFill="1" applyBorder="1"/>
    <xf numFmtId="0" fontId="0" fillId="0" borderId="0" xfId="0" applyFill="1" applyBorder="1"/>
  </cellXfs>
  <cellStyles count="1">
    <cellStyle name="Обычный" xfId="0" builtinId="0"/>
  </cellStyles>
  <dxfs count="125">
    <dxf>
      <fill>
        <patternFill>
          <bgColor theme="9" tint="0.79998168889431442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CCCC"/>
      <color rgb="FFCCCCFF"/>
      <color rgb="FFCCECFF"/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77"/>
  <sheetViews>
    <sheetView tabSelected="1" zoomScaleNormal="100" workbookViewId="0">
      <pane xSplit="1" topLeftCell="J1" activePane="topRight" state="frozen"/>
      <selection pane="topRight" activeCell="N15" sqref="N15"/>
    </sheetView>
  </sheetViews>
  <sheetFormatPr defaultRowHeight="14.4" x14ac:dyDescent="0.3"/>
  <cols>
    <col min="1" max="1" width="12.88671875" bestFit="1" customWidth="1"/>
    <col min="2" max="2" width="12.88671875" customWidth="1"/>
    <col min="3" max="3" width="10.88671875" bestFit="1" customWidth="1"/>
    <col min="4" max="4" width="10.88671875" customWidth="1"/>
    <col min="5" max="5" width="14.5546875" customWidth="1"/>
    <col min="7" max="7" width="34.21875" bestFit="1" customWidth="1"/>
    <col min="8" max="8" width="20.88671875" bestFit="1" customWidth="1"/>
    <col min="9" max="9" width="14.77734375" bestFit="1" customWidth="1"/>
    <col min="10" max="10" width="18.33203125" bestFit="1" customWidth="1"/>
    <col min="11" max="11" width="9.109375" customWidth="1"/>
    <col min="28" max="28" width="11" bestFit="1" customWidth="1"/>
    <col min="29" max="29" width="10.6640625" bestFit="1" customWidth="1"/>
  </cols>
  <sheetData>
    <row r="1" spans="1:29" ht="15" thickBot="1" x14ac:dyDescent="0.35">
      <c r="A1" s="36"/>
      <c r="B1" s="44" t="s">
        <v>440</v>
      </c>
      <c r="C1" s="41" t="s">
        <v>174</v>
      </c>
      <c r="D1" s="44" t="s">
        <v>464</v>
      </c>
      <c r="E1" s="44" t="s">
        <v>175</v>
      </c>
      <c r="F1" s="41" t="s">
        <v>177</v>
      </c>
      <c r="G1" s="41" t="s">
        <v>176</v>
      </c>
      <c r="H1" s="78" t="s">
        <v>486</v>
      </c>
      <c r="I1" s="78" t="s">
        <v>487</v>
      </c>
      <c r="J1" s="78" t="s">
        <v>488</v>
      </c>
      <c r="K1" t="s">
        <v>71</v>
      </c>
      <c r="L1" t="s">
        <v>72</v>
      </c>
      <c r="M1" t="s">
        <v>73</v>
      </c>
      <c r="N1" t="s">
        <v>74</v>
      </c>
      <c r="O1" t="s">
        <v>474</v>
      </c>
      <c r="P1" t="s">
        <v>477</v>
      </c>
      <c r="Q1" t="s">
        <v>478</v>
      </c>
      <c r="R1" t="s">
        <v>521</v>
      </c>
      <c r="S1" t="s">
        <v>475</v>
      </c>
      <c r="T1" t="s">
        <v>479</v>
      </c>
      <c r="U1" t="s">
        <v>480</v>
      </c>
      <c r="V1" t="s">
        <v>522</v>
      </c>
      <c r="W1" t="s">
        <v>476</v>
      </c>
      <c r="X1" t="s">
        <v>481</v>
      </c>
      <c r="Y1" t="s">
        <v>482</v>
      </c>
      <c r="Z1" t="s">
        <v>485</v>
      </c>
      <c r="AA1" t="s">
        <v>473</v>
      </c>
      <c r="AB1" t="s">
        <v>472</v>
      </c>
      <c r="AC1" t="s">
        <v>483</v>
      </c>
    </row>
    <row r="2" spans="1:29" hidden="1" x14ac:dyDescent="0.3">
      <c r="A2" s="37" t="s">
        <v>44</v>
      </c>
      <c r="B2" s="45" t="s">
        <v>441</v>
      </c>
      <c r="C2" s="42">
        <v>5</v>
      </c>
      <c r="D2" s="45" t="s">
        <v>465</v>
      </c>
      <c r="E2" s="45">
        <v>6</v>
      </c>
      <c r="F2" s="42">
        <f>IF(AND(OR($E2=0,$E2=1,$E2=2),$C2=5),65,IF(AND($E2=3,$C2=5),62,IF(AND($E2=4,$C2=5),55,IF(AND($E2=5,$C2=5),35,IF($E2=6,0,IF(AND(OR($E2=0,$E2=1,$E2=2),$C2=4),50,IF(AND($E2=3,$C2=4),48,IF(AND($E2=4,$C2=4),43,IF(AND($E2=5,$C2=4),28,0)))))))))</f>
        <v>0</v>
      </c>
      <c r="G2" s="42" t="s">
        <v>52</v>
      </c>
      <c r="H2" s="3" t="s">
        <v>511</v>
      </c>
      <c r="I2" s="3" t="s">
        <v>505</v>
      </c>
      <c r="J2" s="79" t="s">
        <v>491</v>
      </c>
      <c r="K2">
        <v>10</v>
      </c>
      <c r="L2">
        <v>6</v>
      </c>
      <c r="M2">
        <v>10</v>
      </c>
      <c r="N2">
        <v>10</v>
      </c>
      <c r="O2" t="s">
        <v>523</v>
      </c>
      <c r="P2" t="s">
        <v>523</v>
      </c>
      <c r="Q2" t="s">
        <v>523</v>
      </c>
      <c r="R2" t="s">
        <v>523</v>
      </c>
      <c r="S2" t="s">
        <v>523</v>
      </c>
      <c r="T2" t="s">
        <v>523</v>
      </c>
      <c r="U2" t="s">
        <v>523</v>
      </c>
      <c r="V2" t="s">
        <v>523</v>
      </c>
      <c r="W2" t="s">
        <v>523</v>
      </c>
      <c r="X2" t="s">
        <v>523</v>
      </c>
      <c r="Y2" t="s">
        <v>523</v>
      </c>
      <c r="Z2" t="s">
        <v>523</v>
      </c>
      <c r="AA2" t="s">
        <v>523</v>
      </c>
      <c r="AB2" t="s">
        <v>484</v>
      </c>
      <c r="AC2" t="s">
        <v>484</v>
      </c>
    </row>
    <row r="3" spans="1:29" hidden="1" x14ac:dyDescent="0.3">
      <c r="A3" s="38" t="s">
        <v>27</v>
      </c>
      <c r="B3" s="46" t="s">
        <v>442</v>
      </c>
      <c r="C3" s="43">
        <v>5</v>
      </c>
      <c r="D3" s="46" t="s">
        <v>196</v>
      </c>
      <c r="E3" s="46">
        <v>6</v>
      </c>
      <c r="F3" s="43">
        <f>IF(AND(OR($E3=0,$E3=1,$E3=2),$C3=5),65,IF(AND($E3=3,$C3=5),62,IF(AND($E3=4,$C3=5),55,IF(AND($E3=5,$C3=5),35,IF($E3=6,0,IF(AND(OR($E3=0,$E3=1,$E3=2),$C3=4),50,IF(AND($E3=3,$C3=4),48,IF(AND($E3=4,$C3=4),43,IF(AND($E3=5,$C3=4),28,0)))))))))</f>
        <v>0</v>
      </c>
      <c r="G3" s="43" t="s">
        <v>55</v>
      </c>
      <c r="H3" s="79" t="s">
        <v>513</v>
      </c>
      <c r="I3" s="3" t="s">
        <v>504</v>
      </c>
      <c r="J3" s="79" t="s">
        <v>495</v>
      </c>
      <c r="K3">
        <v>1</v>
      </c>
      <c r="L3">
        <v>1</v>
      </c>
      <c r="M3">
        <v>1</v>
      </c>
      <c r="N3">
        <v>1</v>
      </c>
      <c r="O3" t="s">
        <v>484</v>
      </c>
      <c r="P3" t="s">
        <v>484</v>
      </c>
      <c r="Q3" t="s">
        <v>484</v>
      </c>
      <c r="R3" t="s">
        <v>484</v>
      </c>
      <c r="S3" t="s">
        <v>484</v>
      </c>
      <c r="T3" t="s">
        <v>484</v>
      </c>
      <c r="U3" t="s">
        <v>484</v>
      </c>
      <c r="V3" t="s">
        <v>484</v>
      </c>
      <c r="W3" t="s">
        <v>484</v>
      </c>
      <c r="X3" t="s">
        <v>484</v>
      </c>
      <c r="Y3" t="s">
        <v>484</v>
      </c>
      <c r="Z3" t="s">
        <v>484</v>
      </c>
      <c r="AA3" t="s">
        <v>484</v>
      </c>
      <c r="AB3" t="s">
        <v>484</v>
      </c>
      <c r="AC3" t="s">
        <v>484</v>
      </c>
    </row>
    <row r="4" spans="1:29" hidden="1" x14ac:dyDescent="0.3">
      <c r="A4" s="38" t="s">
        <v>22</v>
      </c>
      <c r="B4" s="46" t="s">
        <v>443</v>
      </c>
      <c r="C4" s="43">
        <v>5</v>
      </c>
      <c r="D4" s="46" t="s">
        <v>466</v>
      </c>
      <c r="E4" s="46">
        <v>6</v>
      </c>
      <c r="F4" s="43">
        <f>IF(AND(OR($E4=0,$E4=1,$E4=2),$C4=5),65,IF(AND($E4=3,$C4=5),62,IF(AND($E4=4,$C4=5),55,IF(AND($E4=5,$C4=5),35,IF($E4=6,0,IF(AND(OR($E4=0,$E4=1,$E4=2),$C4=4),50,IF(AND($E4=3,$C4=4),48,IF(AND($E4=4,$C4=4),43,IF(AND($E4=5,$C4=4),28,0)))))))))</f>
        <v>0</v>
      </c>
      <c r="G4" s="43" t="s">
        <v>54</v>
      </c>
      <c r="H4" s="79" t="s">
        <v>512</v>
      </c>
      <c r="I4" s="3" t="s">
        <v>500</v>
      </c>
      <c r="J4" s="79" t="s">
        <v>495</v>
      </c>
      <c r="K4">
        <v>1</v>
      </c>
      <c r="L4">
        <v>1</v>
      </c>
      <c r="M4">
        <v>1</v>
      </c>
      <c r="N4">
        <v>1</v>
      </c>
      <c r="O4" t="s">
        <v>484</v>
      </c>
      <c r="P4" t="s">
        <v>484</v>
      </c>
      <c r="Q4" t="s">
        <v>484</v>
      </c>
      <c r="R4" t="s">
        <v>484</v>
      </c>
      <c r="S4" t="s">
        <v>484</v>
      </c>
      <c r="T4" t="s">
        <v>484</v>
      </c>
      <c r="U4" t="s">
        <v>484</v>
      </c>
      <c r="V4" t="s">
        <v>484</v>
      </c>
      <c r="W4" t="s">
        <v>484</v>
      </c>
      <c r="X4" t="s">
        <v>484</v>
      </c>
      <c r="Y4" t="s">
        <v>484</v>
      </c>
      <c r="Z4" t="s">
        <v>484</v>
      </c>
      <c r="AA4" t="s">
        <v>484</v>
      </c>
      <c r="AB4" t="s">
        <v>484</v>
      </c>
      <c r="AC4" t="s">
        <v>484</v>
      </c>
    </row>
    <row r="5" spans="1:29" hidden="1" x14ac:dyDescent="0.3">
      <c r="A5" s="38" t="s">
        <v>46</v>
      </c>
      <c r="B5" s="46" t="s">
        <v>444</v>
      </c>
      <c r="C5" s="43">
        <v>5</v>
      </c>
      <c r="D5" s="46" t="s">
        <v>467</v>
      </c>
      <c r="E5" s="46">
        <v>6</v>
      </c>
      <c r="F5" s="43">
        <f>IF(AND(OR($E5=0,$E5=1,$E5=2),$C5=5),65,IF(AND($E5=3,$C5=5),62,IF(AND($E5=4,$C5=5),55,IF(AND($E5=5,$C5=5),35,IF($E5=6,0,IF(AND(OR($E5=0,$E5=1,$E5=2),$C5=4),50,IF(AND($E5=3,$C5=4),48,IF(AND($E5=4,$C5=4),43,IF(AND($E5=5,$C5=4),28,0)))))))))</f>
        <v>0</v>
      </c>
      <c r="G5" s="43" t="s">
        <v>60</v>
      </c>
      <c r="H5" s="79" t="s">
        <v>511</v>
      </c>
      <c r="I5" s="79" t="s">
        <v>510</v>
      </c>
      <c r="J5" s="79" t="s">
        <v>492</v>
      </c>
      <c r="K5">
        <v>1</v>
      </c>
      <c r="L5">
        <v>1</v>
      </c>
      <c r="M5">
        <v>1</v>
      </c>
      <c r="N5">
        <v>1</v>
      </c>
      <c r="O5" t="s">
        <v>484</v>
      </c>
      <c r="P5" t="s">
        <v>484</v>
      </c>
      <c r="Q5" t="s">
        <v>484</v>
      </c>
      <c r="R5" t="s">
        <v>484</v>
      </c>
      <c r="S5" t="s">
        <v>484</v>
      </c>
      <c r="T5" t="s">
        <v>484</v>
      </c>
      <c r="U5" t="s">
        <v>484</v>
      </c>
      <c r="V5" t="s">
        <v>484</v>
      </c>
      <c r="W5" t="s">
        <v>484</v>
      </c>
      <c r="X5" t="s">
        <v>484</v>
      </c>
      <c r="Y5" t="s">
        <v>484</v>
      </c>
      <c r="Z5" t="s">
        <v>484</v>
      </c>
      <c r="AA5" t="s">
        <v>484</v>
      </c>
      <c r="AB5" t="s">
        <v>484</v>
      </c>
      <c r="AC5" t="s">
        <v>484</v>
      </c>
    </row>
    <row r="6" spans="1:29" hidden="1" x14ac:dyDescent="0.3">
      <c r="A6" s="38" t="s">
        <v>19</v>
      </c>
      <c r="B6" s="46" t="s">
        <v>442</v>
      </c>
      <c r="C6" s="43">
        <v>4</v>
      </c>
      <c r="D6" s="46" t="s">
        <v>468</v>
      </c>
      <c r="E6" s="46">
        <v>6</v>
      </c>
      <c r="F6" s="43">
        <f>IF(AND(OR($E6=0,$E6=1,$E6=2),$C6=5),65,IF(AND($E6=3,$C6=5),62,IF(AND($E6=4,$C6=5),55,IF(AND($E6=5,$C6=5),35,IF($E6=6,0,IF(AND(OR($E6=0,$E6=1,$E6=2),$C6=4),50,IF(AND($E6=3,$C6=4),48,IF(AND($E6=4,$C6=4),43,IF(AND($E6=5,$C6=4),28,0)))))))))</f>
        <v>0</v>
      </c>
      <c r="G6" s="43" t="s">
        <v>51</v>
      </c>
      <c r="H6" s="3" t="s">
        <v>517</v>
      </c>
      <c r="I6" s="3" t="s">
        <v>503</v>
      </c>
      <c r="J6" s="79" t="s">
        <v>491</v>
      </c>
      <c r="K6">
        <v>1</v>
      </c>
      <c r="L6">
        <v>1</v>
      </c>
      <c r="M6">
        <v>1</v>
      </c>
      <c r="N6">
        <v>1</v>
      </c>
      <c r="O6" t="s">
        <v>484</v>
      </c>
      <c r="P6" t="s">
        <v>484</v>
      </c>
      <c r="Q6" t="s">
        <v>484</v>
      </c>
      <c r="R6" t="s">
        <v>484</v>
      </c>
      <c r="S6" t="s">
        <v>484</v>
      </c>
      <c r="T6" t="s">
        <v>484</v>
      </c>
      <c r="U6" t="s">
        <v>484</v>
      </c>
      <c r="V6" t="s">
        <v>484</v>
      </c>
      <c r="W6" t="s">
        <v>484</v>
      </c>
      <c r="X6" t="s">
        <v>484</v>
      </c>
      <c r="Y6" t="s">
        <v>484</v>
      </c>
      <c r="Z6" t="s">
        <v>484</v>
      </c>
      <c r="AA6" t="s">
        <v>484</v>
      </c>
      <c r="AB6" t="s">
        <v>484</v>
      </c>
      <c r="AC6" t="s">
        <v>484</v>
      </c>
    </row>
    <row r="7" spans="1:29" hidden="1" x14ac:dyDescent="0.3">
      <c r="A7" s="38" t="s">
        <v>24</v>
      </c>
      <c r="B7" s="46" t="s">
        <v>441</v>
      </c>
      <c r="C7" s="43">
        <v>5</v>
      </c>
      <c r="D7" s="46" t="s">
        <v>469</v>
      </c>
      <c r="E7" s="46">
        <v>6</v>
      </c>
      <c r="F7" s="43">
        <f>IF(AND(OR($E7=0,$E7=1,$E7=2),$C7=5),65,IF(AND($E7=3,$C7=5),62,IF(AND($E7=4,$C7=5),55,IF(AND($E7=5,$C7=5),35,IF($E7=6,0,IF(AND(OR($E7=0,$E7=1,$E7=2),$C7=4),50,IF(AND($E7=3,$C7=4),48,IF(AND($E7=4,$C7=4),43,IF(AND($E7=5,$C7=4),28,0)))))))))</f>
        <v>0</v>
      </c>
      <c r="G7" s="43" t="s">
        <v>53</v>
      </c>
      <c r="H7" s="79" t="s">
        <v>512</v>
      </c>
      <c r="I7" s="3" t="s">
        <v>506</v>
      </c>
      <c r="J7" s="79" t="s">
        <v>495</v>
      </c>
      <c r="K7">
        <v>1</v>
      </c>
      <c r="L7">
        <v>1</v>
      </c>
      <c r="M7">
        <v>1</v>
      </c>
      <c r="N7">
        <v>1</v>
      </c>
      <c r="O7" t="s">
        <v>484</v>
      </c>
      <c r="P7" t="s">
        <v>484</v>
      </c>
      <c r="Q7" t="s">
        <v>484</v>
      </c>
      <c r="R7" t="s">
        <v>484</v>
      </c>
      <c r="S7" t="s">
        <v>484</v>
      </c>
      <c r="T7" t="s">
        <v>484</v>
      </c>
      <c r="U7" t="s">
        <v>484</v>
      </c>
      <c r="V7" t="s">
        <v>484</v>
      </c>
      <c r="W7" t="s">
        <v>484</v>
      </c>
      <c r="X7" t="s">
        <v>484</v>
      </c>
      <c r="Y7" t="s">
        <v>484</v>
      </c>
      <c r="Z7" t="s">
        <v>484</v>
      </c>
      <c r="AA7" t="s">
        <v>484</v>
      </c>
      <c r="AB7" t="s">
        <v>484</v>
      </c>
      <c r="AC7" t="s">
        <v>484</v>
      </c>
    </row>
    <row r="8" spans="1:29" hidden="1" x14ac:dyDescent="0.3">
      <c r="A8" s="38" t="s">
        <v>4</v>
      </c>
      <c r="B8" s="46" t="s">
        <v>445</v>
      </c>
      <c r="C8" s="43">
        <v>4</v>
      </c>
      <c r="D8" s="46" t="s">
        <v>469</v>
      </c>
      <c r="E8" s="46">
        <v>6</v>
      </c>
      <c r="F8" s="43">
        <f>IF(AND(OR($E8=0,$E8=1,$E8=2),$C8=5),65,IF(AND($E8=3,$C8=5),62,IF(AND($E8=4,$C8=5),55,IF(AND($E8=5,$C8=5),35,IF($E8=6,0,IF(AND(OR($E8=0,$E8=1,$E8=2),$C8=4),50,IF(AND($E8=3,$C8=4),48,IF(AND($E8=4,$C8=4),43,IF(AND($E8=5,$C8=4),28,0)))))))))</f>
        <v>0</v>
      </c>
      <c r="G8" s="43" t="s">
        <v>53</v>
      </c>
      <c r="H8" s="79" t="s">
        <v>513</v>
      </c>
      <c r="I8" s="3" t="s">
        <v>501</v>
      </c>
      <c r="J8" s="79" t="s">
        <v>489</v>
      </c>
      <c r="K8">
        <v>1</v>
      </c>
      <c r="L8">
        <v>1</v>
      </c>
      <c r="M8">
        <v>1</v>
      </c>
      <c r="N8">
        <v>1</v>
      </c>
      <c r="O8" t="s">
        <v>484</v>
      </c>
      <c r="P8" t="s">
        <v>484</v>
      </c>
      <c r="Q8" t="s">
        <v>484</v>
      </c>
      <c r="R8" t="s">
        <v>484</v>
      </c>
      <c r="S8" t="s">
        <v>484</v>
      </c>
      <c r="T8" t="s">
        <v>484</v>
      </c>
      <c r="U8" t="s">
        <v>484</v>
      </c>
      <c r="V8" t="s">
        <v>484</v>
      </c>
      <c r="W8" t="s">
        <v>484</v>
      </c>
      <c r="X8" t="s">
        <v>484</v>
      </c>
      <c r="Y8" t="s">
        <v>484</v>
      </c>
      <c r="Z8" t="s">
        <v>484</v>
      </c>
      <c r="AA8" t="s">
        <v>484</v>
      </c>
      <c r="AB8" t="s">
        <v>484</v>
      </c>
      <c r="AC8" t="s">
        <v>484</v>
      </c>
    </row>
    <row r="9" spans="1:29" hidden="1" x14ac:dyDescent="0.3">
      <c r="A9" s="38" t="s">
        <v>0</v>
      </c>
      <c r="B9" s="46" t="s">
        <v>444</v>
      </c>
      <c r="C9" s="43">
        <v>4</v>
      </c>
      <c r="D9" s="46" t="s">
        <v>466</v>
      </c>
      <c r="E9" s="46">
        <v>6</v>
      </c>
      <c r="F9" s="43">
        <f>IF(AND(OR($E9=0,$E9=1,$E9=2),$C9=5),65,IF(AND($E9=3,$C9=5),62,IF(AND($E9=4,$C9=5),55,IF(AND($E9=5,$C9=5),35,IF($E9=6,0,IF(AND(OR($E9=0,$E9=1,$E9=2),$C9=4),50,IF(AND($E9=3,$C9=4),48,IF(AND($E9=4,$C9=4),43,IF(AND($E9=5,$C9=4),28,0)))))))))</f>
        <v>0</v>
      </c>
      <c r="G9" s="43" t="s">
        <v>54</v>
      </c>
      <c r="H9" s="79" t="s">
        <v>513</v>
      </c>
      <c r="I9" s="3" t="s">
        <v>509</v>
      </c>
      <c r="J9" s="3" t="s">
        <v>489</v>
      </c>
      <c r="K9">
        <v>1</v>
      </c>
      <c r="L9">
        <v>1</v>
      </c>
      <c r="M9">
        <v>1</v>
      </c>
      <c r="N9">
        <v>1</v>
      </c>
      <c r="O9" t="s">
        <v>484</v>
      </c>
      <c r="P9" t="s">
        <v>484</v>
      </c>
      <c r="Q9" t="s">
        <v>484</v>
      </c>
      <c r="R9" t="s">
        <v>484</v>
      </c>
      <c r="S9" t="s">
        <v>484</v>
      </c>
      <c r="T9" t="s">
        <v>484</v>
      </c>
      <c r="U9" t="s">
        <v>484</v>
      </c>
      <c r="V9" t="s">
        <v>484</v>
      </c>
      <c r="W9" t="s">
        <v>484</v>
      </c>
      <c r="X9" t="s">
        <v>484</v>
      </c>
      <c r="Y9" t="s">
        <v>484</v>
      </c>
      <c r="Z9" t="s">
        <v>484</v>
      </c>
      <c r="AA9" t="s">
        <v>484</v>
      </c>
      <c r="AB9" t="s">
        <v>484</v>
      </c>
      <c r="AC9" t="s">
        <v>484</v>
      </c>
    </row>
    <row r="10" spans="1:29" hidden="1" x14ac:dyDescent="0.3">
      <c r="A10" s="38" t="s">
        <v>45</v>
      </c>
      <c r="B10" s="46" t="s">
        <v>443</v>
      </c>
      <c r="C10" s="43">
        <v>5</v>
      </c>
      <c r="D10" s="46" t="s">
        <v>467</v>
      </c>
      <c r="E10" s="46">
        <v>6</v>
      </c>
      <c r="F10" s="43">
        <f>IF(AND(OR($E10=0,$E10=1,$E10=2),$C10=5),65,IF(AND($E10=3,$C10=5),62,IF(AND($E10=4,$C10=5),55,IF(AND($E10=5,$C10=5),35,IF($E10=6,0,IF(AND(OR($E10=0,$E10=1,$E10=2),$C10=4),50,IF(AND($E10=3,$C10=4),48,IF(AND($E10=4,$C10=4),43,IF(AND($E10=5,$C10=4),28,0)))))))))</f>
        <v>0</v>
      </c>
      <c r="G10" s="43" t="s">
        <v>60</v>
      </c>
      <c r="H10" s="79" t="s">
        <v>517</v>
      </c>
      <c r="I10" s="79" t="s">
        <v>499</v>
      </c>
      <c r="J10" s="79" t="s">
        <v>491</v>
      </c>
      <c r="K10">
        <v>1</v>
      </c>
      <c r="L10">
        <v>1</v>
      </c>
      <c r="M10">
        <v>1</v>
      </c>
      <c r="N10">
        <v>1</v>
      </c>
      <c r="O10" t="s">
        <v>484</v>
      </c>
      <c r="P10" t="s">
        <v>484</v>
      </c>
      <c r="Q10" t="s">
        <v>484</v>
      </c>
      <c r="R10" t="s">
        <v>484</v>
      </c>
      <c r="S10" t="s">
        <v>484</v>
      </c>
      <c r="T10" t="s">
        <v>484</v>
      </c>
      <c r="U10" t="s">
        <v>484</v>
      </c>
      <c r="V10" t="s">
        <v>484</v>
      </c>
      <c r="W10" t="s">
        <v>484</v>
      </c>
      <c r="X10" t="s">
        <v>484</v>
      </c>
      <c r="Y10" t="s">
        <v>484</v>
      </c>
      <c r="Z10" t="s">
        <v>484</v>
      </c>
      <c r="AA10" t="s">
        <v>484</v>
      </c>
      <c r="AB10" t="s">
        <v>484</v>
      </c>
      <c r="AC10" t="s">
        <v>484</v>
      </c>
    </row>
    <row r="11" spans="1:29" hidden="1" x14ac:dyDescent="0.3">
      <c r="A11" s="38" t="s">
        <v>42</v>
      </c>
      <c r="B11" s="46" t="s">
        <v>443</v>
      </c>
      <c r="C11" s="43">
        <v>5</v>
      </c>
      <c r="D11" s="46" t="s">
        <v>470</v>
      </c>
      <c r="E11" s="46">
        <v>6</v>
      </c>
      <c r="F11" s="43">
        <f>IF(AND(OR($E11=0,$E11=1,$E11=2),$C11=5),65,IF(AND($E11=3,$C11=5),62,IF(AND($E11=4,$C11=5),55,IF(AND($E11=5,$C11=5),35,IF($E11=6,0,IF(AND(OR($E11=0,$E11=1,$E11=2),$C11=4),50,IF(AND($E11=3,$C11=4),48,IF(AND($E11=4,$C11=4),43,IF(AND($E11=5,$C11=4),28,0)))))))))</f>
        <v>0</v>
      </c>
      <c r="G11" s="43" t="s">
        <v>68</v>
      </c>
      <c r="H11" s="79" t="s">
        <v>511</v>
      </c>
      <c r="I11" s="79" t="s">
        <v>499</v>
      </c>
      <c r="J11" s="3" t="s">
        <v>491</v>
      </c>
      <c r="K11">
        <v>1</v>
      </c>
      <c r="L11">
        <v>1</v>
      </c>
      <c r="M11">
        <v>1</v>
      </c>
      <c r="N11">
        <v>1</v>
      </c>
      <c r="O11" t="s">
        <v>484</v>
      </c>
      <c r="P11" t="s">
        <v>484</v>
      </c>
      <c r="Q11" t="s">
        <v>484</v>
      </c>
      <c r="R11" t="s">
        <v>484</v>
      </c>
      <c r="S11" t="s">
        <v>484</v>
      </c>
      <c r="T11" t="s">
        <v>484</v>
      </c>
      <c r="U11" t="s">
        <v>484</v>
      </c>
      <c r="V11" t="s">
        <v>484</v>
      </c>
      <c r="W11" t="s">
        <v>484</v>
      </c>
      <c r="X11" t="s">
        <v>484</v>
      </c>
      <c r="Y11" t="s">
        <v>484</v>
      </c>
      <c r="Z11" t="s">
        <v>484</v>
      </c>
      <c r="AA11" t="s">
        <v>484</v>
      </c>
      <c r="AB11" t="s">
        <v>484</v>
      </c>
      <c r="AC11" t="s">
        <v>484</v>
      </c>
    </row>
    <row r="12" spans="1:29" x14ac:dyDescent="0.3">
      <c r="A12" s="38" t="s">
        <v>454</v>
      </c>
      <c r="B12" s="46" t="s">
        <v>448</v>
      </c>
      <c r="C12" s="43">
        <v>5</v>
      </c>
      <c r="D12" s="46" t="s">
        <v>470</v>
      </c>
      <c r="E12" s="46">
        <v>6</v>
      </c>
      <c r="F12" s="43">
        <f>IF(AND(OR($E12=0,$E12=1,$E12=2),$C12=5),65,IF(AND($E12=3,$C12=5),62,IF(AND($E12=4,$C12=5),55,IF(AND($E12=5,$C12=5),35,IF($E12=6,0,IF(AND(OR($E12=0,$E12=1,$E12=2),$C12=4),50,IF(AND($E12=3,$C12=4),48,IF(AND($E12=4,$C12=4),43,IF(AND($E12=5,$C12=4),28,0)))))))))</f>
        <v>0</v>
      </c>
      <c r="G12" s="43" t="s">
        <v>463</v>
      </c>
      <c r="H12" s="79" t="s">
        <v>516</v>
      </c>
      <c r="I12" s="3" t="s">
        <v>496</v>
      </c>
      <c r="J12" s="79" t="s">
        <v>493</v>
      </c>
      <c r="K12">
        <v>10</v>
      </c>
      <c r="L12">
        <v>6</v>
      </c>
      <c r="M12">
        <v>10</v>
      </c>
      <c r="N12">
        <v>10</v>
      </c>
      <c r="O12" t="s">
        <v>523</v>
      </c>
      <c r="P12" t="s">
        <v>523</v>
      </c>
      <c r="Q12" t="s">
        <v>523</v>
      </c>
      <c r="R12" t="s">
        <v>523</v>
      </c>
      <c r="S12" t="s">
        <v>523</v>
      </c>
      <c r="T12" t="s">
        <v>523</v>
      </c>
      <c r="U12" t="s">
        <v>523</v>
      </c>
      <c r="V12" t="s">
        <v>523</v>
      </c>
      <c r="W12" t="s">
        <v>523</v>
      </c>
      <c r="X12" t="s">
        <v>523</v>
      </c>
      <c r="Y12" t="s">
        <v>523</v>
      </c>
      <c r="Z12" t="s">
        <v>523</v>
      </c>
      <c r="AA12" t="s">
        <v>523</v>
      </c>
      <c r="AB12">
        <v>6</v>
      </c>
      <c r="AC12">
        <v>6</v>
      </c>
    </row>
    <row r="13" spans="1:29" hidden="1" x14ac:dyDescent="0.3">
      <c r="A13" s="38" t="s">
        <v>456</v>
      </c>
      <c r="B13" s="46" t="s">
        <v>446</v>
      </c>
      <c r="C13" s="43">
        <v>5</v>
      </c>
      <c r="D13" s="46" t="s">
        <v>467</v>
      </c>
      <c r="E13" s="46">
        <v>6</v>
      </c>
      <c r="F13" s="43">
        <f>IF(AND(OR($E13=0,$E13=1,$E13=2),$C13=5),65,IF(AND($E13=3,$C13=5),62,IF(AND($E13=4,$C13=5),55,IF(AND($E13=5,$C13=5),35,IF($E13=6,0,IF(AND(OR($E13=0,$E13=1,$E13=2),$C13=4),50,IF(AND($E13=3,$C13=4),48,IF(AND($E13=4,$C13=4),43,IF(AND($E13=5,$C13=4),28,0)))))))))</f>
        <v>0</v>
      </c>
      <c r="G13" s="43"/>
      <c r="H13" s="3" t="s">
        <v>518</v>
      </c>
      <c r="I13" s="3" t="s">
        <v>508</v>
      </c>
      <c r="J13" s="79" t="s">
        <v>489</v>
      </c>
      <c r="K13">
        <v>1</v>
      </c>
      <c r="L13">
        <v>1</v>
      </c>
      <c r="M13">
        <v>1</v>
      </c>
      <c r="N13">
        <v>1</v>
      </c>
      <c r="O13" t="s">
        <v>484</v>
      </c>
      <c r="P13" t="s">
        <v>484</v>
      </c>
      <c r="Q13" t="s">
        <v>484</v>
      </c>
      <c r="R13" t="s">
        <v>484</v>
      </c>
      <c r="S13" t="s">
        <v>484</v>
      </c>
      <c r="T13" t="s">
        <v>484</v>
      </c>
      <c r="U13" t="s">
        <v>484</v>
      </c>
      <c r="V13" t="s">
        <v>484</v>
      </c>
      <c r="W13" t="s">
        <v>484</v>
      </c>
      <c r="X13" t="s">
        <v>484</v>
      </c>
      <c r="Y13" t="s">
        <v>484</v>
      </c>
      <c r="Z13" t="s">
        <v>484</v>
      </c>
      <c r="AA13" t="s">
        <v>484</v>
      </c>
      <c r="AB13" t="s">
        <v>484</v>
      </c>
      <c r="AC13" t="s">
        <v>484</v>
      </c>
    </row>
    <row r="14" spans="1:29" hidden="1" x14ac:dyDescent="0.3">
      <c r="A14" s="38" t="s">
        <v>456</v>
      </c>
      <c r="B14" s="46" t="s">
        <v>441</v>
      </c>
      <c r="C14" s="43">
        <v>5</v>
      </c>
      <c r="D14" s="46" t="s">
        <v>468</v>
      </c>
      <c r="E14" s="46">
        <v>6</v>
      </c>
      <c r="F14" s="43">
        <f>IF(AND(OR($E14=0,$E14=1,$E14=2),$C14=5),65,IF(AND($E14=3,$C14=5),62,IF(AND($E14=4,$C14=5),55,IF(AND($E14=5,$C14=5),35,IF($E14=6,0,IF(AND(OR($E14=0,$E14=1,$E14=2),$C14=4),50,IF(AND($E14=3,$C14=4),48,IF(AND($E14=4,$C14=4),43,IF(AND($E14=5,$C14=4),28,0)))))))))</f>
        <v>0</v>
      </c>
      <c r="G14" s="43"/>
      <c r="H14" s="3" t="s">
        <v>518</v>
      </c>
      <c r="I14" s="3" t="s">
        <v>506</v>
      </c>
      <c r="J14" s="79" t="s">
        <v>489</v>
      </c>
      <c r="K14">
        <v>1</v>
      </c>
      <c r="L14">
        <v>1</v>
      </c>
      <c r="M14">
        <v>1</v>
      </c>
      <c r="N14">
        <v>1</v>
      </c>
      <c r="O14" t="s">
        <v>484</v>
      </c>
      <c r="P14" t="s">
        <v>484</v>
      </c>
      <c r="Q14" t="s">
        <v>484</v>
      </c>
      <c r="R14" t="s">
        <v>484</v>
      </c>
      <c r="S14" t="s">
        <v>484</v>
      </c>
      <c r="T14" t="s">
        <v>484</v>
      </c>
      <c r="U14" t="s">
        <v>484</v>
      </c>
      <c r="V14" t="s">
        <v>484</v>
      </c>
      <c r="W14" t="s">
        <v>484</v>
      </c>
      <c r="X14" t="s">
        <v>484</v>
      </c>
      <c r="Y14" t="s">
        <v>484</v>
      </c>
      <c r="Z14" t="s">
        <v>484</v>
      </c>
      <c r="AA14" t="s">
        <v>484</v>
      </c>
      <c r="AB14" t="s">
        <v>484</v>
      </c>
      <c r="AC14" t="s">
        <v>484</v>
      </c>
    </row>
    <row r="15" spans="1:29" x14ac:dyDescent="0.3">
      <c r="A15" s="38" t="s">
        <v>456</v>
      </c>
      <c r="B15" s="46" t="s">
        <v>448</v>
      </c>
      <c r="C15" s="43">
        <v>5</v>
      </c>
      <c r="D15" s="46" t="s">
        <v>469</v>
      </c>
      <c r="E15" s="46">
        <v>6</v>
      </c>
      <c r="F15" s="43">
        <f>IF(AND(OR($E15=0,$E15=1,$E15=2),$C15=5),65,IF(AND($E15=3,$C15=5),62,IF(AND($E15=4,$C15=5),55,IF(AND($E15=5,$C15=5),35,IF($E15=6,0,IF(AND(OR($E15=0,$E15=1,$E15=2),$C15=4),50,IF(AND($E15=3,$C15=4),48,IF(AND($E15=4,$C15=4),43,IF(AND($E15=5,$C15=4),28,0)))))))))</f>
        <v>0</v>
      </c>
      <c r="G15" s="43"/>
      <c r="H15" s="3" t="s">
        <v>518</v>
      </c>
      <c r="I15" s="3" t="s">
        <v>496</v>
      </c>
      <c r="J15" s="79" t="s">
        <v>493</v>
      </c>
      <c r="K15">
        <v>3</v>
      </c>
      <c r="L15">
        <v>2</v>
      </c>
      <c r="M15">
        <v>3</v>
      </c>
      <c r="N15">
        <v>7</v>
      </c>
      <c r="O15" t="s">
        <v>484</v>
      </c>
      <c r="P15" t="s">
        <v>484</v>
      </c>
      <c r="Q15" t="s">
        <v>484</v>
      </c>
      <c r="R15" t="s">
        <v>484</v>
      </c>
      <c r="S15" t="s">
        <v>484</v>
      </c>
      <c r="T15" t="s">
        <v>484</v>
      </c>
      <c r="U15" t="s">
        <v>484</v>
      </c>
      <c r="V15" t="s">
        <v>484</v>
      </c>
      <c r="W15" t="s">
        <v>484</v>
      </c>
      <c r="X15" t="s">
        <v>484</v>
      </c>
      <c r="Y15" t="s">
        <v>484</v>
      </c>
      <c r="Z15" t="s">
        <v>484</v>
      </c>
      <c r="AA15" t="s">
        <v>484</v>
      </c>
      <c r="AB15">
        <v>1</v>
      </c>
      <c r="AC15">
        <v>1</v>
      </c>
    </row>
    <row r="16" spans="1:29" hidden="1" x14ac:dyDescent="0.3">
      <c r="A16" s="38" t="s">
        <v>456</v>
      </c>
      <c r="B16" s="46" t="s">
        <v>443</v>
      </c>
      <c r="C16" s="43">
        <v>5</v>
      </c>
      <c r="D16" s="46" t="s">
        <v>465</v>
      </c>
      <c r="E16" s="46">
        <v>6</v>
      </c>
      <c r="F16" s="43">
        <f>IF(AND(OR($E16=0,$E16=1,$E16=2),$C16=5),65,IF(AND($E16=3,$C16=5),62,IF(AND($E16=4,$C16=5),55,IF(AND($E16=5,$C16=5),35,IF($E16=6,0,IF(AND(OR($E16=0,$E16=1,$E16=2),$C16=4),50,IF(AND($E16=3,$C16=4),48,IF(AND($E16=4,$C16=4),43,IF(AND($E16=5,$C16=4),28,0)))))))))</f>
        <v>0</v>
      </c>
      <c r="G16" s="43"/>
      <c r="H16" s="79" t="s">
        <v>512</v>
      </c>
      <c r="I16" s="79" t="s">
        <v>499</v>
      </c>
      <c r="J16" s="3" t="s">
        <v>491</v>
      </c>
      <c r="K16">
        <v>1</v>
      </c>
      <c r="L16">
        <v>1</v>
      </c>
      <c r="M16">
        <v>1</v>
      </c>
      <c r="N16">
        <v>1</v>
      </c>
      <c r="O16" t="s">
        <v>484</v>
      </c>
      <c r="P16" t="s">
        <v>484</v>
      </c>
      <c r="Q16" t="s">
        <v>484</v>
      </c>
      <c r="R16" t="s">
        <v>484</v>
      </c>
      <c r="S16" t="s">
        <v>484</v>
      </c>
      <c r="T16" t="s">
        <v>484</v>
      </c>
      <c r="U16" t="s">
        <v>484</v>
      </c>
      <c r="V16" t="s">
        <v>484</v>
      </c>
      <c r="W16" t="s">
        <v>484</v>
      </c>
      <c r="X16" t="s">
        <v>484</v>
      </c>
      <c r="Y16" t="s">
        <v>484</v>
      </c>
      <c r="Z16" t="s">
        <v>484</v>
      </c>
      <c r="AA16" t="s">
        <v>484</v>
      </c>
      <c r="AB16" t="s">
        <v>484</v>
      </c>
      <c r="AC16" t="s">
        <v>484</v>
      </c>
    </row>
    <row r="17" spans="1:29" hidden="1" x14ac:dyDescent="0.3">
      <c r="A17" s="40" t="s">
        <v>3</v>
      </c>
      <c r="B17" s="76" t="s">
        <v>444</v>
      </c>
      <c r="C17" s="43">
        <v>4</v>
      </c>
      <c r="D17" s="46" t="s">
        <v>465</v>
      </c>
      <c r="E17" s="46">
        <v>6</v>
      </c>
      <c r="F17" s="43">
        <f>F16</f>
        <v>0</v>
      </c>
      <c r="G17" s="43" t="s">
        <v>53</v>
      </c>
      <c r="H17" s="3" t="s">
        <v>518</v>
      </c>
      <c r="I17" s="3" t="s">
        <v>510</v>
      </c>
      <c r="J17" s="79" t="s">
        <v>489</v>
      </c>
      <c r="K17">
        <v>1</v>
      </c>
      <c r="L17">
        <v>1</v>
      </c>
      <c r="M17">
        <v>1</v>
      </c>
      <c r="N17">
        <v>1</v>
      </c>
      <c r="O17" t="s">
        <v>484</v>
      </c>
      <c r="P17" t="s">
        <v>484</v>
      </c>
      <c r="Q17" t="s">
        <v>484</v>
      </c>
      <c r="R17" t="s">
        <v>484</v>
      </c>
      <c r="S17" t="s">
        <v>484</v>
      </c>
      <c r="T17" t="s">
        <v>484</v>
      </c>
      <c r="U17" t="s">
        <v>484</v>
      </c>
      <c r="V17" t="s">
        <v>484</v>
      </c>
      <c r="W17" t="s">
        <v>484</v>
      </c>
      <c r="X17" t="s">
        <v>484</v>
      </c>
      <c r="Y17" t="s">
        <v>484</v>
      </c>
      <c r="Z17" t="s">
        <v>484</v>
      </c>
      <c r="AA17" t="s">
        <v>484</v>
      </c>
      <c r="AB17" t="s">
        <v>484</v>
      </c>
      <c r="AC17" t="s">
        <v>484</v>
      </c>
    </row>
    <row r="18" spans="1:29" hidden="1" x14ac:dyDescent="0.3">
      <c r="A18" s="40" t="s">
        <v>3</v>
      </c>
      <c r="B18" s="76" t="s">
        <v>441</v>
      </c>
      <c r="C18" s="43">
        <v>4</v>
      </c>
      <c r="D18" s="46" t="s">
        <v>469</v>
      </c>
      <c r="E18" s="46">
        <v>6</v>
      </c>
      <c r="F18" s="43">
        <f>IF(AND(OR($E18=0,$E18=1,$E18=2),$C18=5),65,IF(AND($E18=3,$C18=5),62,IF(AND($E18=4,$C18=5),55,IF(AND($E18=5,$C18=5),35,IF($E18=6,0,IF(AND(OR($E18=0,$E18=1,$E18=2),$C18=4),50,IF(AND($E18=3,$C18=4),48,IF(AND($E18=4,$C18=4),43,IF(AND($E18=5,$C18=4),28,0)))))))))</f>
        <v>0</v>
      </c>
      <c r="G18" s="43" t="s">
        <v>53</v>
      </c>
      <c r="H18" s="79" t="s">
        <v>518</v>
      </c>
      <c r="I18" s="79" t="s">
        <v>506</v>
      </c>
      <c r="J18" s="79" t="s">
        <v>489</v>
      </c>
      <c r="K18">
        <v>1</v>
      </c>
      <c r="L18">
        <v>1</v>
      </c>
      <c r="M18">
        <v>1</v>
      </c>
      <c r="N18">
        <v>1</v>
      </c>
      <c r="O18" t="s">
        <v>484</v>
      </c>
      <c r="P18" t="s">
        <v>484</v>
      </c>
      <c r="Q18" t="s">
        <v>484</v>
      </c>
      <c r="R18" t="s">
        <v>484</v>
      </c>
      <c r="S18" t="s">
        <v>484</v>
      </c>
      <c r="T18" t="s">
        <v>484</v>
      </c>
      <c r="U18" t="s">
        <v>484</v>
      </c>
      <c r="V18" t="s">
        <v>484</v>
      </c>
      <c r="W18" t="s">
        <v>484</v>
      </c>
      <c r="X18" t="s">
        <v>484</v>
      </c>
      <c r="Y18" t="s">
        <v>484</v>
      </c>
      <c r="Z18" t="s">
        <v>484</v>
      </c>
      <c r="AA18" t="s">
        <v>484</v>
      </c>
      <c r="AB18" t="s">
        <v>484</v>
      </c>
      <c r="AC18" t="s">
        <v>484</v>
      </c>
    </row>
    <row r="19" spans="1:29" hidden="1" x14ac:dyDescent="0.3">
      <c r="A19" s="38" t="s">
        <v>450</v>
      </c>
      <c r="B19" s="46" t="s">
        <v>446</v>
      </c>
      <c r="C19" s="43">
        <v>5</v>
      </c>
      <c r="D19" s="46" t="s">
        <v>465</v>
      </c>
      <c r="E19" s="46">
        <v>6</v>
      </c>
      <c r="F19" s="43">
        <f>IF(AND(OR($E19=0,$E19=1,$E19=2),$C19=5),65,IF(AND($E19=3,$C19=5),62,IF(AND($E19=4,$C19=5),55,IF(AND($E19=5,$C19=5),35,IF($E19=6,0,IF(AND(OR($E19=0,$E19=1,$E19=2),$C19=4),50,IF(AND($E19=3,$C19=4),48,IF(AND($E19=4,$C19=4),43,IF(AND($E19=5,$C19=4),28,0)))))))))</f>
        <v>0</v>
      </c>
      <c r="G19" s="43" t="s">
        <v>461</v>
      </c>
      <c r="H19" s="3" t="s">
        <v>515</v>
      </c>
      <c r="I19" s="3" t="s">
        <v>507</v>
      </c>
      <c r="J19" s="79" t="s">
        <v>493</v>
      </c>
      <c r="K19">
        <v>1</v>
      </c>
      <c r="L19">
        <v>1</v>
      </c>
      <c r="M19">
        <v>1</v>
      </c>
      <c r="N19">
        <v>1</v>
      </c>
      <c r="O19" t="s">
        <v>484</v>
      </c>
      <c r="P19" t="s">
        <v>484</v>
      </c>
      <c r="Q19" t="s">
        <v>484</v>
      </c>
      <c r="R19" t="s">
        <v>484</v>
      </c>
      <c r="S19" t="s">
        <v>484</v>
      </c>
      <c r="T19" t="s">
        <v>484</v>
      </c>
      <c r="U19" t="s">
        <v>484</v>
      </c>
      <c r="V19" t="s">
        <v>484</v>
      </c>
      <c r="W19" t="s">
        <v>484</v>
      </c>
      <c r="X19" t="s">
        <v>484</v>
      </c>
      <c r="Y19" t="s">
        <v>484</v>
      </c>
      <c r="Z19" t="s">
        <v>484</v>
      </c>
      <c r="AA19" t="s">
        <v>484</v>
      </c>
      <c r="AB19" t="s">
        <v>484</v>
      </c>
      <c r="AC19" t="s">
        <v>484</v>
      </c>
    </row>
    <row r="20" spans="1:29" hidden="1" x14ac:dyDescent="0.3">
      <c r="A20" s="39" t="s">
        <v>18</v>
      </c>
      <c r="B20" s="75" t="s">
        <v>446</v>
      </c>
      <c r="C20" s="43">
        <v>4</v>
      </c>
      <c r="D20" s="46" t="s">
        <v>469</v>
      </c>
      <c r="E20" s="46">
        <v>6</v>
      </c>
      <c r="F20" s="43">
        <f>IF(AND(OR($E20=0,$E20=1,$E20=2),$C20=5),65,IF(AND($E20=3,$C20=5),62,IF(AND($E20=4,$C20=5),55,IF(AND($E20=5,$C20=5),35,IF($E20=6,0,IF(AND(OR($E20=0,$E20=1,$E20=2),$C20=4),50,IF(AND($E20=3,$C20=4),48,IF(AND($E20=4,$C20=4),43,IF(AND($E20=5,$C20=4),28,0)))))))))</f>
        <v>0</v>
      </c>
      <c r="G20" s="43" t="s">
        <v>59</v>
      </c>
      <c r="H20" s="79" t="s">
        <v>517</v>
      </c>
      <c r="I20" s="79" t="s">
        <v>507</v>
      </c>
      <c r="J20" s="79" t="s">
        <v>491</v>
      </c>
      <c r="K20">
        <v>1</v>
      </c>
      <c r="L20">
        <v>1</v>
      </c>
      <c r="M20">
        <v>1</v>
      </c>
      <c r="N20">
        <v>1</v>
      </c>
      <c r="O20" t="s">
        <v>484</v>
      </c>
      <c r="P20" t="s">
        <v>484</v>
      </c>
      <c r="Q20" t="s">
        <v>484</v>
      </c>
      <c r="R20" t="s">
        <v>484</v>
      </c>
      <c r="S20" t="s">
        <v>484</v>
      </c>
      <c r="T20" t="s">
        <v>484</v>
      </c>
      <c r="U20" t="s">
        <v>484</v>
      </c>
      <c r="V20" t="s">
        <v>484</v>
      </c>
      <c r="W20" t="s">
        <v>484</v>
      </c>
      <c r="X20" t="s">
        <v>484</v>
      </c>
      <c r="Y20" t="s">
        <v>484</v>
      </c>
      <c r="Z20" t="s">
        <v>484</v>
      </c>
      <c r="AA20" t="s">
        <v>484</v>
      </c>
      <c r="AB20" t="s">
        <v>484</v>
      </c>
      <c r="AC20" t="s">
        <v>484</v>
      </c>
    </row>
    <row r="21" spans="1:29" hidden="1" x14ac:dyDescent="0.3">
      <c r="A21" s="39" t="s">
        <v>75</v>
      </c>
      <c r="B21" s="75" t="s">
        <v>444</v>
      </c>
      <c r="C21" s="43">
        <v>4</v>
      </c>
      <c r="D21" s="46" t="s">
        <v>196</v>
      </c>
      <c r="E21" s="46">
        <v>6</v>
      </c>
      <c r="F21" s="43">
        <f>IF(AND(OR($E21=0,$E21=1,$E21=2),$C21=5),65,IF(AND($E21=3,$C21=5),62,IF(AND($E21=4,$C21=5),55,IF(AND($E21=5,$C21=5),35,IF($E21=6,0,IF(AND(OR($E21=0,$E21=1,$E21=2),$C21=4),50,IF(AND($E21=3,$C21=4),48,IF(AND($E21=4,$C21=4),43,IF(AND($E21=5,$C21=4),28,0)))))))))</f>
        <v>0</v>
      </c>
      <c r="G21" s="43" t="s">
        <v>77</v>
      </c>
      <c r="H21" s="79" t="s">
        <v>514</v>
      </c>
      <c r="I21" s="3" t="s">
        <v>510</v>
      </c>
      <c r="J21" s="3" t="s">
        <v>493</v>
      </c>
      <c r="K21">
        <v>1</v>
      </c>
      <c r="L21">
        <v>1</v>
      </c>
      <c r="M21">
        <v>1</v>
      </c>
      <c r="N21">
        <v>1</v>
      </c>
      <c r="O21" t="s">
        <v>484</v>
      </c>
      <c r="P21" t="s">
        <v>484</v>
      </c>
      <c r="Q21" t="s">
        <v>484</v>
      </c>
      <c r="R21" t="s">
        <v>484</v>
      </c>
      <c r="S21" t="s">
        <v>484</v>
      </c>
      <c r="T21" t="s">
        <v>484</v>
      </c>
      <c r="U21" t="s">
        <v>484</v>
      </c>
      <c r="V21" t="s">
        <v>484</v>
      </c>
      <c r="W21" t="s">
        <v>484</v>
      </c>
      <c r="X21" t="s">
        <v>484</v>
      </c>
      <c r="Y21" t="s">
        <v>484</v>
      </c>
      <c r="Z21" t="s">
        <v>484</v>
      </c>
      <c r="AA21" t="s">
        <v>484</v>
      </c>
      <c r="AB21" t="s">
        <v>484</v>
      </c>
      <c r="AC21" t="s">
        <v>484</v>
      </c>
    </row>
    <row r="22" spans="1:29" hidden="1" x14ac:dyDescent="0.3">
      <c r="A22" s="38" t="s">
        <v>7</v>
      </c>
      <c r="B22" s="46" t="s">
        <v>447</v>
      </c>
      <c r="C22" s="43">
        <v>4</v>
      </c>
      <c r="D22" s="46" t="s">
        <v>469</v>
      </c>
      <c r="E22" s="46">
        <v>6</v>
      </c>
      <c r="F22" s="43">
        <f>IF(AND(OR($E22=0,$E22=1,$E22=2),$C22=5),65,IF(AND($E22=3,$C22=5),62,IF(AND($E22=4,$C22=5),55,IF(AND($E22=5,$C22=5),35,IF($E22=6,0,IF(AND(OR($E22=0,$E22=1,$E22=2),$C22=4),50,IF(AND($E22=3,$C22=4),48,IF(AND($E22=4,$C22=4),43,IF(AND($E22=5,$C22=4),28,0)))))))))</f>
        <v>0</v>
      </c>
      <c r="G22" s="43" t="s">
        <v>53</v>
      </c>
      <c r="H22" s="79" t="s">
        <v>513</v>
      </c>
      <c r="I22" s="3" t="s">
        <v>498</v>
      </c>
      <c r="J22" s="79" t="s">
        <v>495</v>
      </c>
      <c r="K22">
        <v>1</v>
      </c>
      <c r="L22">
        <v>1</v>
      </c>
      <c r="M22">
        <v>1</v>
      </c>
      <c r="N22">
        <v>1</v>
      </c>
      <c r="O22" t="s">
        <v>484</v>
      </c>
      <c r="P22" t="s">
        <v>484</v>
      </c>
      <c r="Q22" t="s">
        <v>484</v>
      </c>
      <c r="R22" t="s">
        <v>484</v>
      </c>
      <c r="S22" t="s">
        <v>484</v>
      </c>
      <c r="T22" t="s">
        <v>484</v>
      </c>
      <c r="U22" t="s">
        <v>484</v>
      </c>
      <c r="V22" t="s">
        <v>484</v>
      </c>
      <c r="W22" t="s">
        <v>484</v>
      </c>
      <c r="X22" t="s">
        <v>484</v>
      </c>
      <c r="Y22" t="s">
        <v>484</v>
      </c>
      <c r="Z22" t="s">
        <v>484</v>
      </c>
      <c r="AA22" t="s">
        <v>484</v>
      </c>
      <c r="AB22" t="s">
        <v>484</v>
      </c>
      <c r="AC22" t="s">
        <v>484</v>
      </c>
    </row>
    <row r="23" spans="1:29" hidden="1" x14ac:dyDescent="0.3">
      <c r="A23" s="38" t="s">
        <v>40</v>
      </c>
      <c r="B23" s="46" t="s">
        <v>444</v>
      </c>
      <c r="C23" s="43">
        <v>5</v>
      </c>
      <c r="D23" s="46" t="s">
        <v>465</v>
      </c>
      <c r="E23" s="46">
        <v>6</v>
      </c>
      <c r="F23" s="43">
        <f>IF(AND(OR($E23=0,$E23=1,$E23=2),$C23=5),65,IF(AND($E23=3,$C23=5),62,IF(AND($E23=4,$C23=5),55,IF(AND($E23=5,$C23=5),35,IF($E23=6,0,IF(AND(OR($E23=0,$E23=1,$E23=2),$C23=4),50,IF(AND($E23=3,$C23=4),48,IF(AND($E23=4,$C23=4),43,IF(AND($E23=5,$C23=4),28,0)))))))))</f>
        <v>0</v>
      </c>
      <c r="G23" s="43" t="s">
        <v>52</v>
      </c>
      <c r="H23" s="79" t="s">
        <v>518</v>
      </c>
      <c r="I23" s="79" t="s">
        <v>509</v>
      </c>
      <c r="J23" s="79" t="s">
        <v>491</v>
      </c>
      <c r="K23">
        <v>1</v>
      </c>
      <c r="L23">
        <v>1</v>
      </c>
      <c r="M23">
        <v>1</v>
      </c>
      <c r="N23">
        <v>1</v>
      </c>
      <c r="O23" t="s">
        <v>484</v>
      </c>
      <c r="P23" t="s">
        <v>484</v>
      </c>
      <c r="Q23" t="s">
        <v>484</v>
      </c>
      <c r="R23" t="s">
        <v>484</v>
      </c>
      <c r="S23" t="s">
        <v>484</v>
      </c>
      <c r="T23" t="s">
        <v>484</v>
      </c>
      <c r="U23" t="s">
        <v>484</v>
      </c>
      <c r="V23" t="s">
        <v>484</v>
      </c>
      <c r="W23" t="s">
        <v>484</v>
      </c>
      <c r="X23" t="s">
        <v>484</v>
      </c>
      <c r="Y23" t="s">
        <v>484</v>
      </c>
      <c r="Z23" t="s">
        <v>484</v>
      </c>
      <c r="AA23" t="s">
        <v>484</v>
      </c>
      <c r="AB23" t="s">
        <v>484</v>
      </c>
      <c r="AC23" t="s">
        <v>484</v>
      </c>
    </row>
    <row r="24" spans="1:29" hidden="1" x14ac:dyDescent="0.3">
      <c r="A24" s="38" t="s">
        <v>82</v>
      </c>
      <c r="B24" s="46" t="s">
        <v>443</v>
      </c>
      <c r="C24" s="43">
        <v>5</v>
      </c>
      <c r="D24" s="46" t="s">
        <v>465</v>
      </c>
      <c r="E24" s="46">
        <v>6</v>
      </c>
      <c r="F24" s="43">
        <f>IF(AND(OR($E24=0,$E24=1,$E24=2),$C24=5),65,IF(AND($E24=3,$C24=5),62,IF(AND($E24=4,$C24=5),55,IF(AND($E24=5,$C24=5),35,IF($E24=6,0,IF(AND(OR($E24=0,$E24=1,$E24=2),$C24=4),50,IF(AND($E24=3,$C24=4),48,IF(AND($E24=4,$C24=4),43,IF(AND($E24=5,$C24=4),28,0)))))))))</f>
        <v>0</v>
      </c>
      <c r="G24" s="43" t="s">
        <v>81</v>
      </c>
      <c r="H24" s="3" t="s">
        <v>511</v>
      </c>
      <c r="I24" s="3" t="s">
        <v>499</v>
      </c>
      <c r="J24" s="3" t="s">
        <v>492</v>
      </c>
      <c r="K24">
        <v>1</v>
      </c>
      <c r="L24">
        <v>1</v>
      </c>
      <c r="M24">
        <v>1</v>
      </c>
      <c r="N24">
        <v>1</v>
      </c>
      <c r="O24" t="s">
        <v>484</v>
      </c>
      <c r="P24" t="s">
        <v>484</v>
      </c>
      <c r="Q24" t="s">
        <v>484</v>
      </c>
      <c r="R24" t="s">
        <v>484</v>
      </c>
      <c r="S24" t="s">
        <v>484</v>
      </c>
      <c r="T24" t="s">
        <v>484</v>
      </c>
      <c r="U24" t="s">
        <v>484</v>
      </c>
      <c r="V24" t="s">
        <v>484</v>
      </c>
      <c r="W24" t="s">
        <v>484</v>
      </c>
      <c r="X24" t="s">
        <v>484</v>
      </c>
      <c r="Y24" t="s">
        <v>484</v>
      </c>
      <c r="Z24" t="s">
        <v>484</v>
      </c>
      <c r="AA24" t="s">
        <v>484</v>
      </c>
      <c r="AB24" t="s">
        <v>484</v>
      </c>
      <c r="AC24" t="s">
        <v>484</v>
      </c>
    </row>
    <row r="25" spans="1:29" hidden="1" x14ac:dyDescent="0.3">
      <c r="A25" s="38" t="s">
        <v>47</v>
      </c>
      <c r="B25" s="46" t="s">
        <v>446</v>
      </c>
      <c r="C25" s="43">
        <v>5</v>
      </c>
      <c r="D25" s="46" t="s">
        <v>468</v>
      </c>
      <c r="E25" s="46">
        <v>6</v>
      </c>
      <c r="F25" s="43">
        <f>IF(AND(OR($E25=0,$E25=1,$E25=2),$C25=5),65,IF(AND($E25=3,$C25=5),62,IF(AND($E25=4,$C25=5),55,IF(AND($E25=5,$C25=5),35,IF($E25=6,0,IF(AND(OR($E25=0,$E25=1,$E25=2),$C25=4),50,IF(AND($E25=3,$C25=4),48,IF(AND($E25=4,$C25=4),43,IF(AND($E25=5,$C25=4),28,0)))))))))</f>
        <v>0</v>
      </c>
      <c r="G25" s="43" t="s">
        <v>51</v>
      </c>
      <c r="H25" s="79" t="s">
        <v>511</v>
      </c>
      <c r="I25" s="79" t="s">
        <v>507</v>
      </c>
      <c r="J25" s="79" t="s">
        <v>492</v>
      </c>
      <c r="K25">
        <v>1</v>
      </c>
      <c r="L25">
        <v>1</v>
      </c>
      <c r="M25">
        <v>1</v>
      </c>
      <c r="N25">
        <v>1</v>
      </c>
      <c r="O25" t="s">
        <v>484</v>
      </c>
      <c r="P25" t="s">
        <v>484</v>
      </c>
      <c r="Q25" t="s">
        <v>484</v>
      </c>
      <c r="R25" t="s">
        <v>484</v>
      </c>
      <c r="S25" t="s">
        <v>484</v>
      </c>
      <c r="T25" t="s">
        <v>484</v>
      </c>
      <c r="U25" t="s">
        <v>484</v>
      </c>
      <c r="V25" t="s">
        <v>484</v>
      </c>
      <c r="W25" t="s">
        <v>484</v>
      </c>
      <c r="X25" t="s">
        <v>484</v>
      </c>
      <c r="Y25" t="s">
        <v>484</v>
      </c>
      <c r="Z25" t="s">
        <v>484</v>
      </c>
      <c r="AA25" t="s">
        <v>484</v>
      </c>
      <c r="AB25" t="s">
        <v>484</v>
      </c>
      <c r="AC25" t="s">
        <v>484</v>
      </c>
    </row>
    <row r="26" spans="1:29" hidden="1" x14ac:dyDescent="0.3">
      <c r="A26" s="38" t="s">
        <v>5</v>
      </c>
      <c r="B26" s="46" t="s">
        <v>445</v>
      </c>
      <c r="C26" s="43">
        <v>4</v>
      </c>
      <c r="D26" s="46" t="s">
        <v>196</v>
      </c>
      <c r="E26" s="46">
        <v>6</v>
      </c>
      <c r="F26" s="43">
        <f>IF(AND(OR($E26=0,$E26=1,$E26=2),$C26=5),65,IF(AND($E26=3,$C26=5),62,IF(AND($E26=4,$C26=5),55,IF(AND($E26=5,$C26=5),35,IF($E26=6,0,IF(AND(OR($E26=0,$E26=1,$E26=2),$C26=4),50,IF(AND($E26=3,$C26=4),48,IF(AND($E26=4,$C26=4),43,IF(AND($E26=5,$C26=4),28,0)))))))))</f>
        <v>0</v>
      </c>
      <c r="G26" s="43" t="s">
        <v>55</v>
      </c>
      <c r="H26" s="79" t="s">
        <v>512</v>
      </c>
      <c r="I26" s="79" t="s">
        <v>501</v>
      </c>
      <c r="J26" s="79" t="s">
        <v>495</v>
      </c>
      <c r="K26">
        <v>1</v>
      </c>
      <c r="L26">
        <v>1</v>
      </c>
      <c r="M26">
        <v>1</v>
      </c>
      <c r="N26">
        <v>1</v>
      </c>
      <c r="O26" t="s">
        <v>484</v>
      </c>
      <c r="P26" t="s">
        <v>484</v>
      </c>
      <c r="Q26" t="s">
        <v>484</v>
      </c>
      <c r="R26" t="s">
        <v>484</v>
      </c>
      <c r="S26" t="s">
        <v>484</v>
      </c>
      <c r="T26" t="s">
        <v>484</v>
      </c>
      <c r="U26" t="s">
        <v>484</v>
      </c>
      <c r="V26" t="s">
        <v>484</v>
      </c>
      <c r="W26" t="s">
        <v>484</v>
      </c>
      <c r="X26" t="s">
        <v>484</v>
      </c>
      <c r="Y26" t="s">
        <v>484</v>
      </c>
      <c r="Z26" t="s">
        <v>484</v>
      </c>
      <c r="AA26" t="s">
        <v>484</v>
      </c>
      <c r="AB26" t="s">
        <v>484</v>
      </c>
      <c r="AC26" t="s">
        <v>484</v>
      </c>
    </row>
    <row r="27" spans="1:29" hidden="1" x14ac:dyDescent="0.3">
      <c r="A27" s="38" t="s">
        <v>449</v>
      </c>
      <c r="B27" s="46" t="s">
        <v>446</v>
      </c>
      <c r="C27" s="43">
        <v>5</v>
      </c>
      <c r="D27" s="46" t="s">
        <v>467</v>
      </c>
      <c r="E27" s="46">
        <v>6</v>
      </c>
      <c r="F27" s="43">
        <f>IF(AND(OR($E27=0,$E27=1,$E27=2),$C27=5),65,IF(AND($E27=3,$C27=5),62,IF(AND($E27=4,$C27=5),55,IF(AND($E27=5,$C27=5),35,IF($E27=6,0,IF(AND(OR($E27=0,$E27=1,$E27=2),$C27=4),50,IF(AND($E27=3,$C27=4),48,IF(AND($E27=4,$C27=4),43,IF(AND($E27=5,$C27=4),28,0)))))))))</f>
        <v>0</v>
      </c>
      <c r="G27" s="43" t="s">
        <v>462</v>
      </c>
      <c r="H27" s="3" t="s">
        <v>516</v>
      </c>
      <c r="I27" s="3" t="s">
        <v>507</v>
      </c>
      <c r="J27" s="3" t="s">
        <v>494</v>
      </c>
      <c r="K27">
        <v>1</v>
      </c>
      <c r="L27">
        <v>1</v>
      </c>
      <c r="M27">
        <v>1</v>
      </c>
      <c r="N27">
        <v>1</v>
      </c>
      <c r="O27" t="s">
        <v>484</v>
      </c>
      <c r="P27" t="s">
        <v>484</v>
      </c>
      <c r="Q27" t="s">
        <v>484</v>
      </c>
      <c r="R27" t="s">
        <v>484</v>
      </c>
      <c r="S27" t="s">
        <v>484</v>
      </c>
      <c r="T27" t="s">
        <v>484</v>
      </c>
      <c r="U27" t="s">
        <v>484</v>
      </c>
      <c r="V27" t="s">
        <v>484</v>
      </c>
      <c r="W27" t="s">
        <v>484</v>
      </c>
      <c r="X27" t="s">
        <v>484</v>
      </c>
      <c r="Y27" t="s">
        <v>484</v>
      </c>
      <c r="Z27" t="s">
        <v>484</v>
      </c>
      <c r="AA27" t="s">
        <v>484</v>
      </c>
      <c r="AB27" t="s">
        <v>484</v>
      </c>
      <c r="AC27" t="s">
        <v>484</v>
      </c>
    </row>
    <row r="28" spans="1:29" hidden="1" x14ac:dyDescent="0.3">
      <c r="A28" s="38" t="s">
        <v>16</v>
      </c>
      <c r="B28" s="46" t="s">
        <v>443</v>
      </c>
      <c r="C28" s="43">
        <v>4</v>
      </c>
      <c r="D28" s="46" t="s">
        <v>467</v>
      </c>
      <c r="E28" s="46">
        <v>6</v>
      </c>
      <c r="F28" s="43">
        <f>IF(AND(OR($E28=0,$E28=1,$E28=2),$C28=5),65,IF(AND($E28=3,$C28=5),62,IF(AND($E28=4,$C28=5),55,IF(AND($E28=5,$C28=5),35,IF($E28=6,0,IF(AND(OR($E28=0,$E28=1,$E28=2),$C28=4),50,IF(AND($E28=3,$C28=4),48,IF(AND($E28=4,$C28=4),43,IF(AND($E28=5,$C28=4),28,0)))))))))</f>
        <v>0</v>
      </c>
      <c r="G28" s="43" t="s">
        <v>58</v>
      </c>
      <c r="H28" s="3" t="s">
        <v>514</v>
      </c>
      <c r="I28" s="79" t="s">
        <v>500</v>
      </c>
      <c r="J28" s="79" t="s">
        <v>490</v>
      </c>
      <c r="K28">
        <v>1</v>
      </c>
      <c r="L28">
        <v>1</v>
      </c>
      <c r="M28">
        <v>1</v>
      </c>
      <c r="N28">
        <v>1</v>
      </c>
      <c r="O28" t="s">
        <v>484</v>
      </c>
      <c r="P28" t="s">
        <v>484</v>
      </c>
      <c r="Q28" t="s">
        <v>484</v>
      </c>
      <c r="R28" t="s">
        <v>484</v>
      </c>
      <c r="S28" t="s">
        <v>484</v>
      </c>
      <c r="T28" t="s">
        <v>484</v>
      </c>
      <c r="U28" t="s">
        <v>484</v>
      </c>
      <c r="V28" t="s">
        <v>484</v>
      </c>
      <c r="W28" t="s">
        <v>484</v>
      </c>
      <c r="X28" t="s">
        <v>484</v>
      </c>
      <c r="Y28" t="s">
        <v>484</v>
      </c>
      <c r="Z28" t="s">
        <v>484</v>
      </c>
      <c r="AA28" t="s">
        <v>484</v>
      </c>
      <c r="AB28" t="s">
        <v>484</v>
      </c>
      <c r="AC28" t="s">
        <v>484</v>
      </c>
    </row>
    <row r="29" spans="1:29" hidden="1" x14ac:dyDescent="0.3">
      <c r="A29" s="38" t="s">
        <v>61</v>
      </c>
      <c r="B29" s="46" t="s">
        <v>445</v>
      </c>
      <c r="C29" s="43">
        <v>4</v>
      </c>
      <c r="D29" s="46" t="s">
        <v>470</v>
      </c>
      <c r="E29" s="46">
        <v>6</v>
      </c>
      <c r="F29" s="43">
        <f>IF(AND(OR($E29=0,$E29=1,$E29=2),$C29=5),65,IF(AND($E29=3,$C29=5),62,IF(AND($E29=4,$C29=5),55,IF(AND($E29=5,$C29=5),35,IF($E29=6,0,IF(AND(OR($E29=0,$E29=1,$E29=2),$C29=4),50,IF(AND($E29=3,$C29=4),48,IF(AND($E29=4,$C29=4),43,IF(AND($E29=5,$C29=4),28,0)))))))))</f>
        <v>0</v>
      </c>
      <c r="G29" s="43" t="s">
        <v>62</v>
      </c>
      <c r="H29" s="79" t="s">
        <v>518</v>
      </c>
      <c r="I29" s="3" t="s">
        <v>501</v>
      </c>
      <c r="J29" s="79" t="s">
        <v>495</v>
      </c>
      <c r="K29">
        <v>1</v>
      </c>
      <c r="L29">
        <v>1</v>
      </c>
      <c r="M29">
        <v>1</v>
      </c>
      <c r="N29">
        <v>1</v>
      </c>
      <c r="O29" t="s">
        <v>484</v>
      </c>
      <c r="P29" t="s">
        <v>484</v>
      </c>
      <c r="Q29" t="s">
        <v>484</v>
      </c>
      <c r="R29" t="s">
        <v>484</v>
      </c>
      <c r="S29" t="s">
        <v>484</v>
      </c>
      <c r="T29" t="s">
        <v>484</v>
      </c>
      <c r="U29" t="s">
        <v>484</v>
      </c>
      <c r="V29" t="s">
        <v>484</v>
      </c>
      <c r="W29" t="s">
        <v>484</v>
      </c>
      <c r="X29" t="s">
        <v>484</v>
      </c>
      <c r="Y29" t="s">
        <v>484</v>
      </c>
      <c r="Z29" t="s">
        <v>484</v>
      </c>
      <c r="AA29" t="s">
        <v>484</v>
      </c>
      <c r="AB29" t="s">
        <v>484</v>
      </c>
      <c r="AC29" t="s">
        <v>484</v>
      </c>
    </row>
    <row r="30" spans="1:29" hidden="1" x14ac:dyDescent="0.3">
      <c r="A30" s="38" t="s">
        <v>13</v>
      </c>
      <c r="B30" s="46" t="s">
        <v>447</v>
      </c>
      <c r="C30" s="43">
        <v>4</v>
      </c>
      <c r="D30" s="46" t="s">
        <v>467</v>
      </c>
      <c r="E30" s="46">
        <v>5</v>
      </c>
      <c r="F30" s="43">
        <f>IF(AND(OR($E30=0,$E30=1,$E30=2),$C30=5),65,IF(AND($E30=3,$C30=5),62,IF(AND($E30=4,$C30=5),55,IF(AND($E30=5,$C30=5),35,IF($E30=6,0,IF(AND(OR($E30=0,$E30=1,$E30=2),$C30=4),50,IF(AND($E30=3,$C30=4),48,IF(AND($E30=4,$C30=4),43,IF(AND($E30=5,$C30=4),28,0)))))))))</f>
        <v>28</v>
      </c>
      <c r="G30" s="43" t="s">
        <v>56</v>
      </c>
      <c r="H30" s="79" t="s">
        <v>519</v>
      </c>
      <c r="I30" s="79" t="s">
        <v>498</v>
      </c>
      <c r="J30" s="79" t="s">
        <v>490</v>
      </c>
      <c r="K30">
        <v>1</v>
      </c>
      <c r="L30">
        <v>1</v>
      </c>
      <c r="M30">
        <v>1</v>
      </c>
      <c r="N30">
        <v>1</v>
      </c>
      <c r="O30" t="s">
        <v>484</v>
      </c>
      <c r="P30" t="s">
        <v>484</v>
      </c>
      <c r="Q30" t="s">
        <v>484</v>
      </c>
      <c r="R30" t="s">
        <v>484</v>
      </c>
      <c r="S30" t="s">
        <v>484</v>
      </c>
      <c r="T30" t="s">
        <v>484</v>
      </c>
      <c r="U30" t="s">
        <v>484</v>
      </c>
      <c r="V30" t="s">
        <v>484</v>
      </c>
      <c r="W30" t="s">
        <v>484</v>
      </c>
      <c r="X30" t="s">
        <v>484</v>
      </c>
      <c r="Y30" t="s">
        <v>484</v>
      </c>
      <c r="Z30" t="s">
        <v>484</v>
      </c>
      <c r="AA30" t="s">
        <v>484</v>
      </c>
      <c r="AB30" t="s">
        <v>484</v>
      </c>
      <c r="AC30" t="s">
        <v>484</v>
      </c>
    </row>
    <row r="31" spans="1:29" hidden="1" x14ac:dyDescent="0.3">
      <c r="A31" s="38" t="s">
        <v>6</v>
      </c>
      <c r="B31" s="46" t="s">
        <v>442</v>
      </c>
      <c r="C31" s="43">
        <v>4</v>
      </c>
      <c r="D31" s="46" t="s">
        <v>467</v>
      </c>
      <c r="E31" s="46">
        <v>5</v>
      </c>
      <c r="F31" s="43">
        <f>IF(AND(OR($E31=0,$E31=1,$E31=2),$C31=5),65,IF(AND($E31=3,$C31=5),62,IF(AND($E31=4,$C31=5),55,IF(AND($E31=5,$C31=5),35,IF($E31=6,0,IF(AND(OR($E31=0,$E31=1,$E31=2),$C31=4),50,IF(AND($E31=3,$C31=4),48,IF(AND($E31=4,$C31=4),43,IF(AND($E31=5,$C31=4),28,0)))))))))</f>
        <v>28</v>
      </c>
      <c r="G31" s="43" t="s">
        <v>56</v>
      </c>
      <c r="H31" s="79" t="s">
        <v>519</v>
      </c>
      <c r="I31" s="79" t="s">
        <v>504</v>
      </c>
      <c r="J31" s="3" t="s">
        <v>495</v>
      </c>
      <c r="K31">
        <v>1</v>
      </c>
      <c r="L31">
        <v>1</v>
      </c>
      <c r="M31">
        <v>1</v>
      </c>
      <c r="N31">
        <v>1</v>
      </c>
      <c r="O31" t="s">
        <v>484</v>
      </c>
      <c r="P31" t="s">
        <v>484</v>
      </c>
      <c r="Q31" t="s">
        <v>484</v>
      </c>
      <c r="R31" t="s">
        <v>484</v>
      </c>
      <c r="S31" t="s">
        <v>484</v>
      </c>
      <c r="T31" t="s">
        <v>484</v>
      </c>
      <c r="U31" t="s">
        <v>484</v>
      </c>
      <c r="V31" t="s">
        <v>484</v>
      </c>
      <c r="W31" t="s">
        <v>484</v>
      </c>
      <c r="X31" t="s">
        <v>484</v>
      </c>
      <c r="Y31" t="s">
        <v>484</v>
      </c>
      <c r="Z31" t="s">
        <v>484</v>
      </c>
      <c r="AA31" t="s">
        <v>484</v>
      </c>
      <c r="AB31" t="s">
        <v>484</v>
      </c>
      <c r="AC31" t="s">
        <v>484</v>
      </c>
    </row>
    <row r="32" spans="1:29" hidden="1" x14ac:dyDescent="0.3">
      <c r="A32" s="38" t="s">
        <v>8</v>
      </c>
      <c r="B32" s="46" t="s">
        <v>447</v>
      </c>
      <c r="C32" s="43">
        <v>4</v>
      </c>
      <c r="D32" s="46" t="s">
        <v>466</v>
      </c>
      <c r="E32" s="46">
        <v>5</v>
      </c>
      <c r="F32" s="43">
        <f>IF(AND(OR($E32=0,$E32=1,$E32=2),$C32=5),65,IF(AND($E32=3,$C32=5),62,IF(AND($E32=4,$C32=5),55,IF(AND($E32=5,$C32=5),35,IF($E32=6,0,IF(AND(OR($E32=0,$E32=1,$E32=2),$C32=4),50,IF(AND($E32=3,$C32=4),48,IF(AND($E32=4,$C32=4),43,IF(AND($E32=5,$C32=4),28,0)))))))))</f>
        <v>28</v>
      </c>
      <c r="G32" s="43" t="s">
        <v>54</v>
      </c>
      <c r="H32" s="79" t="s">
        <v>519</v>
      </c>
      <c r="I32" s="3" t="s">
        <v>498</v>
      </c>
      <c r="J32" s="79" t="s">
        <v>495</v>
      </c>
      <c r="K32">
        <v>1</v>
      </c>
      <c r="L32">
        <v>1</v>
      </c>
      <c r="M32">
        <v>1</v>
      </c>
      <c r="N32">
        <v>1</v>
      </c>
      <c r="O32" t="s">
        <v>484</v>
      </c>
      <c r="P32" t="s">
        <v>484</v>
      </c>
      <c r="Q32" t="s">
        <v>484</v>
      </c>
      <c r="R32" t="s">
        <v>484</v>
      </c>
      <c r="S32" t="s">
        <v>484</v>
      </c>
      <c r="T32" t="s">
        <v>484</v>
      </c>
      <c r="U32" t="s">
        <v>484</v>
      </c>
      <c r="V32" t="s">
        <v>484</v>
      </c>
      <c r="W32" t="s">
        <v>484</v>
      </c>
      <c r="X32" t="s">
        <v>484</v>
      </c>
      <c r="Y32" t="s">
        <v>484</v>
      </c>
      <c r="Z32" t="s">
        <v>484</v>
      </c>
      <c r="AA32" t="s">
        <v>484</v>
      </c>
      <c r="AB32" t="s">
        <v>484</v>
      </c>
      <c r="AC32" t="s">
        <v>484</v>
      </c>
    </row>
    <row r="33" spans="1:29" hidden="1" x14ac:dyDescent="0.3">
      <c r="A33" s="38" t="s">
        <v>11</v>
      </c>
      <c r="B33" s="46" t="s">
        <v>444</v>
      </c>
      <c r="C33" s="43">
        <v>4</v>
      </c>
      <c r="D33" s="46" t="s">
        <v>467</v>
      </c>
      <c r="E33" s="46">
        <v>5</v>
      </c>
      <c r="F33" s="43">
        <f>IF(AND(OR($E33=0,$E33=1,$E33=2),$C33=5),65,IF(AND($E33=3,$C33=5),62,IF(AND($E33=4,$C33=5),55,IF(AND($E33=5,$C33=5),35,IF($E33=6,0,IF(AND(OR($E33=0,$E33=1,$E33=2),$C33=4),50,IF(AND($E33=3,$C33=4),48,IF(AND($E33=4,$C33=4),43,IF(AND($E33=5,$C33=4),28,0)))))))))</f>
        <v>28</v>
      </c>
      <c r="G33" s="43" t="s">
        <v>56</v>
      </c>
      <c r="H33" s="79" t="s">
        <v>514</v>
      </c>
      <c r="I33" s="79" t="s">
        <v>509</v>
      </c>
      <c r="J33" s="79" t="s">
        <v>495</v>
      </c>
      <c r="K33">
        <v>1</v>
      </c>
      <c r="L33">
        <v>1</v>
      </c>
      <c r="M33">
        <v>1</v>
      </c>
      <c r="N33">
        <v>1</v>
      </c>
      <c r="O33" t="s">
        <v>484</v>
      </c>
      <c r="P33" t="s">
        <v>484</v>
      </c>
      <c r="Q33" t="s">
        <v>484</v>
      </c>
      <c r="R33" t="s">
        <v>484</v>
      </c>
      <c r="S33" t="s">
        <v>484</v>
      </c>
      <c r="T33" t="s">
        <v>484</v>
      </c>
      <c r="U33" t="s">
        <v>484</v>
      </c>
      <c r="V33" t="s">
        <v>484</v>
      </c>
      <c r="W33" t="s">
        <v>484</v>
      </c>
      <c r="X33" t="s">
        <v>484</v>
      </c>
      <c r="Y33" t="s">
        <v>484</v>
      </c>
      <c r="Z33" t="s">
        <v>484</v>
      </c>
      <c r="AA33" t="s">
        <v>484</v>
      </c>
      <c r="AB33" t="s">
        <v>484</v>
      </c>
      <c r="AC33" t="s">
        <v>484</v>
      </c>
    </row>
    <row r="34" spans="1:29" hidden="1" x14ac:dyDescent="0.3">
      <c r="A34" s="38" t="s">
        <v>10</v>
      </c>
      <c r="B34" s="46" t="s">
        <v>443</v>
      </c>
      <c r="C34" s="43">
        <v>4</v>
      </c>
      <c r="D34" s="46" t="s">
        <v>196</v>
      </c>
      <c r="E34" s="46">
        <v>5</v>
      </c>
      <c r="F34" s="43">
        <f>IF(AND(OR($E34=0,$E34=1,$E34=2),$C34=5),65,IF(AND($E34=3,$C34=5),62,IF(AND($E34=4,$C34=5),55,IF(AND($E34=5,$C34=5),35,IF($E34=6,0,IF(AND(OR($E34=0,$E34=1,$E34=2),$C34=4),50,IF(AND($E34=3,$C34=4),48,IF(AND($E34=4,$C34=4),43,IF(AND($E34=5,$C34=4),28,0)))))))))</f>
        <v>28</v>
      </c>
      <c r="G34" s="43" t="s">
        <v>55</v>
      </c>
      <c r="H34" s="79" t="s">
        <v>520</v>
      </c>
      <c r="I34" s="79" t="s">
        <v>500</v>
      </c>
      <c r="J34" s="79" t="s">
        <v>489</v>
      </c>
      <c r="K34">
        <v>1</v>
      </c>
      <c r="L34">
        <v>1</v>
      </c>
      <c r="M34">
        <v>1</v>
      </c>
      <c r="N34">
        <v>1</v>
      </c>
      <c r="O34" t="s">
        <v>484</v>
      </c>
      <c r="P34" t="s">
        <v>484</v>
      </c>
      <c r="Q34" t="s">
        <v>484</v>
      </c>
      <c r="R34" t="s">
        <v>484</v>
      </c>
      <c r="S34" t="s">
        <v>484</v>
      </c>
      <c r="T34" t="s">
        <v>484</v>
      </c>
      <c r="U34" t="s">
        <v>484</v>
      </c>
      <c r="V34" t="s">
        <v>484</v>
      </c>
      <c r="W34" t="s">
        <v>484</v>
      </c>
      <c r="X34" t="s">
        <v>484</v>
      </c>
      <c r="Y34" t="s">
        <v>484</v>
      </c>
      <c r="Z34" t="s">
        <v>484</v>
      </c>
      <c r="AA34" t="s">
        <v>484</v>
      </c>
      <c r="AB34" t="s">
        <v>484</v>
      </c>
      <c r="AC34" t="s">
        <v>484</v>
      </c>
    </row>
    <row r="35" spans="1:29" hidden="1" x14ac:dyDescent="0.3">
      <c r="A35" s="38" t="s">
        <v>12</v>
      </c>
      <c r="B35" s="46" t="s">
        <v>443</v>
      </c>
      <c r="C35" s="43">
        <v>4</v>
      </c>
      <c r="D35" s="46" t="s">
        <v>465</v>
      </c>
      <c r="E35" s="46">
        <v>5</v>
      </c>
      <c r="F35" s="43">
        <f>IF(AND(OR($E35=0,$E35=1,$E35=2),$C35=5),65,IF(AND($E35=3,$C35=5),62,IF(AND($E35=4,$C35=5),55,IF(AND($E35=5,$C35=5),35,IF($E35=6,0,IF(AND(OR($E35=0,$E35=1,$E35=2),$C35=4),50,IF(AND($E35=3,$C35=4),48,IF(AND($E35=4,$C35=4),43,IF(AND($E35=5,$C35=4),28,0)))))))))</f>
        <v>28</v>
      </c>
      <c r="G35" s="43" t="s">
        <v>57</v>
      </c>
      <c r="H35" s="79" t="s">
        <v>514</v>
      </c>
      <c r="I35" s="79" t="s">
        <v>500</v>
      </c>
      <c r="J35" s="79" t="s">
        <v>489</v>
      </c>
      <c r="K35">
        <v>1</v>
      </c>
      <c r="L35">
        <v>1</v>
      </c>
      <c r="M35">
        <v>1</v>
      </c>
      <c r="N35">
        <v>1</v>
      </c>
      <c r="O35" t="s">
        <v>484</v>
      </c>
      <c r="P35" t="s">
        <v>484</v>
      </c>
      <c r="Q35" t="s">
        <v>484</v>
      </c>
      <c r="R35" t="s">
        <v>484</v>
      </c>
      <c r="S35" t="s">
        <v>484</v>
      </c>
      <c r="T35" t="s">
        <v>484</v>
      </c>
      <c r="U35" t="s">
        <v>484</v>
      </c>
      <c r="V35" t="s">
        <v>484</v>
      </c>
      <c r="W35" t="s">
        <v>484</v>
      </c>
      <c r="X35" t="s">
        <v>484</v>
      </c>
      <c r="Y35" t="s">
        <v>484</v>
      </c>
      <c r="Z35" t="s">
        <v>484</v>
      </c>
      <c r="AA35" t="s">
        <v>484</v>
      </c>
      <c r="AB35" t="s">
        <v>484</v>
      </c>
      <c r="AC35" t="s">
        <v>484</v>
      </c>
    </row>
    <row r="36" spans="1:29" hidden="1" x14ac:dyDescent="0.3">
      <c r="A36" s="38" t="s">
        <v>38</v>
      </c>
      <c r="B36" s="46" t="s">
        <v>445</v>
      </c>
      <c r="C36" s="43">
        <v>5</v>
      </c>
      <c r="D36" s="46" t="s">
        <v>467</v>
      </c>
      <c r="E36" s="46">
        <v>4</v>
      </c>
      <c r="F36" s="43">
        <f>IF(AND(OR($E36=0,$E36=1,$E36=2),$C36=5),65,IF(AND($E36=3,$C36=5),62,IF(AND($E36=4,$C36=5),55,IF(AND($E36=5,$C36=5),35,IF($E36=6,0,IF(AND(OR($E36=0,$E36=1,$E36=2),$C36=4),50,IF(AND($E36=3,$C36=4),48,IF(AND($E36=4,$C36=4),43,IF(AND($E36=5,$C36=4),28,0)))))))))</f>
        <v>55</v>
      </c>
      <c r="G36" s="43" t="s">
        <v>58</v>
      </c>
      <c r="H36" s="79" t="s">
        <v>513</v>
      </c>
      <c r="I36" s="79" t="s">
        <v>501</v>
      </c>
      <c r="J36" s="79" t="s">
        <v>490</v>
      </c>
      <c r="K36">
        <v>1</v>
      </c>
      <c r="L36">
        <v>1</v>
      </c>
      <c r="M36">
        <v>1</v>
      </c>
      <c r="N36">
        <v>1</v>
      </c>
      <c r="O36" t="s">
        <v>484</v>
      </c>
      <c r="P36" t="s">
        <v>484</v>
      </c>
      <c r="Q36" t="s">
        <v>484</v>
      </c>
      <c r="R36" t="s">
        <v>484</v>
      </c>
      <c r="S36" t="s">
        <v>484</v>
      </c>
      <c r="T36" t="s">
        <v>484</v>
      </c>
      <c r="U36" t="s">
        <v>484</v>
      </c>
      <c r="V36" t="s">
        <v>484</v>
      </c>
      <c r="W36" t="s">
        <v>484</v>
      </c>
      <c r="X36" t="s">
        <v>484</v>
      </c>
      <c r="Y36" t="s">
        <v>484</v>
      </c>
      <c r="Z36" t="s">
        <v>484</v>
      </c>
      <c r="AA36" t="s">
        <v>484</v>
      </c>
      <c r="AB36" t="s">
        <v>484</v>
      </c>
      <c r="AC36" t="s">
        <v>484</v>
      </c>
    </row>
    <row r="37" spans="1:29" hidden="1" x14ac:dyDescent="0.3">
      <c r="A37" s="38" t="s">
        <v>25</v>
      </c>
      <c r="B37" s="46" t="s">
        <v>446</v>
      </c>
      <c r="C37" s="43">
        <v>5</v>
      </c>
      <c r="D37" s="46" t="s">
        <v>467</v>
      </c>
      <c r="E37" s="46">
        <v>4</v>
      </c>
      <c r="F37" s="43">
        <f>IF(AND(OR($E37=0,$E37=1,$E37=2),$C37=5),65,IF(AND($E37=3,$C37=5),62,IF(AND($E37=4,$C37=5),55,IF(AND($E37=5,$C37=5),35,IF($E37=6,0,IF(AND(OR($E37=0,$E37=1,$E37=2),$C37=4),50,IF(AND($E37=3,$C37=4),48,IF(AND($E37=4,$C37=4),43,IF(AND($E37=5,$C37=4),28,0)))))))))</f>
        <v>55</v>
      </c>
      <c r="G37" s="43" t="s">
        <v>56</v>
      </c>
      <c r="H37" s="79" t="s">
        <v>519</v>
      </c>
      <c r="I37" s="79" t="s">
        <v>508</v>
      </c>
      <c r="J37" s="3" t="s">
        <v>495</v>
      </c>
      <c r="K37">
        <v>1</v>
      </c>
      <c r="L37">
        <v>1</v>
      </c>
      <c r="M37">
        <v>1</v>
      </c>
      <c r="N37">
        <v>1</v>
      </c>
      <c r="O37" t="s">
        <v>484</v>
      </c>
      <c r="P37" t="s">
        <v>484</v>
      </c>
      <c r="Q37" t="s">
        <v>484</v>
      </c>
      <c r="R37" t="s">
        <v>484</v>
      </c>
      <c r="S37" t="s">
        <v>484</v>
      </c>
      <c r="T37" t="s">
        <v>484</v>
      </c>
      <c r="U37" t="s">
        <v>484</v>
      </c>
      <c r="V37" t="s">
        <v>484</v>
      </c>
      <c r="W37" t="s">
        <v>484</v>
      </c>
      <c r="X37" t="s">
        <v>484</v>
      </c>
      <c r="Y37" t="s">
        <v>484</v>
      </c>
      <c r="Z37" t="s">
        <v>484</v>
      </c>
      <c r="AA37" t="s">
        <v>484</v>
      </c>
      <c r="AB37" t="s">
        <v>484</v>
      </c>
      <c r="AC37" t="s">
        <v>484</v>
      </c>
    </row>
    <row r="38" spans="1:29" hidden="1" x14ac:dyDescent="0.3">
      <c r="A38" s="38" t="s">
        <v>1</v>
      </c>
      <c r="B38" s="46" t="s">
        <v>446</v>
      </c>
      <c r="C38" s="43">
        <v>4</v>
      </c>
      <c r="D38" s="46" t="s">
        <v>196</v>
      </c>
      <c r="E38" s="46">
        <v>3</v>
      </c>
      <c r="F38" s="43">
        <f>IF(AND(OR($E38=0,$E38=1,$E38=2),$C38=5),65,IF(AND($E38=3,$C38=5),62,IF(AND($E38=4,$C38=5),55,IF(AND($E38=5,$C38=5),35,IF($E38=6,0,IF(AND(OR($E38=0,$E38=1,$E38=2),$C38=4),50,IF(AND($E38=3,$C38=4),48,IF(AND($E38=4,$C38=4),43,IF(AND($E38=5,$C38=4),28,0)))))))))</f>
        <v>48</v>
      </c>
      <c r="G38" s="43" t="s">
        <v>55</v>
      </c>
      <c r="H38" s="79" t="s">
        <v>513</v>
      </c>
      <c r="I38" s="79" t="s">
        <v>508</v>
      </c>
      <c r="J38" s="3" t="s">
        <v>489</v>
      </c>
      <c r="K38">
        <v>1</v>
      </c>
      <c r="L38">
        <v>1</v>
      </c>
      <c r="M38">
        <v>1</v>
      </c>
      <c r="N38">
        <v>1</v>
      </c>
      <c r="O38" t="s">
        <v>484</v>
      </c>
      <c r="P38" t="s">
        <v>484</v>
      </c>
      <c r="Q38" t="s">
        <v>484</v>
      </c>
      <c r="R38" t="s">
        <v>484</v>
      </c>
      <c r="S38" t="s">
        <v>484</v>
      </c>
      <c r="T38" t="s">
        <v>484</v>
      </c>
      <c r="U38" t="s">
        <v>484</v>
      </c>
      <c r="V38" t="s">
        <v>484</v>
      </c>
      <c r="W38" t="s">
        <v>484</v>
      </c>
      <c r="X38" t="s">
        <v>484</v>
      </c>
      <c r="Y38" t="s">
        <v>484</v>
      </c>
      <c r="Z38" t="s">
        <v>484</v>
      </c>
      <c r="AA38" t="s">
        <v>484</v>
      </c>
      <c r="AB38" t="s">
        <v>484</v>
      </c>
      <c r="AC38" t="s">
        <v>484</v>
      </c>
    </row>
    <row r="39" spans="1:29" hidden="1" x14ac:dyDescent="0.3">
      <c r="A39" s="38" t="s">
        <v>2</v>
      </c>
      <c r="B39" s="46" t="s">
        <v>443</v>
      </c>
      <c r="C39" s="43">
        <v>4</v>
      </c>
      <c r="D39" s="46" t="s">
        <v>468</v>
      </c>
      <c r="E39" s="46">
        <v>3</v>
      </c>
      <c r="F39" s="43">
        <f>IF(AND(OR($E39=0,$E39=1,$E39=2),$C39=5),65,IF(AND($E39=3,$C39=5),62,IF(AND($E39=4,$C39=5),55,IF(AND($E39=5,$C39=5),35,IF($E39=6,0,IF(AND(OR($E39=0,$E39=1,$E39=2),$C39=4),50,IF(AND($E39=3,$C39=4),48,IF(AND($E39=4,$C39=4),43,IF(AND($E39=5,$C39=4),28,0)))))))))</f>
        <v>48</v>
      </c>
      <c r="G39" s="43" t="s">
        <v>63</v>
      </c>
      <c r="H39" s="79" t="s">
        <v>512</v>
      </c>
      <c r="I39" s="79" t="s">
        <v>500</v>
      </c>
      <c r="J39" s="3" t="s">
        <v>489</v>
      </c>
      <c r="K39">
        <v>1</v>
      </c>
      <c r="L39">
        <v>1</v>
      </c>
      <c r="M39">
        <v>1</v>
      </c>
      <c r="N39">
        <v>1</v>
      </c>
      <c r="O39" t="s">
        <v>484</v>
      </c>
      <c r="P39" t="s">
        <v>484</v>
      </c>
      <c r="Q39" t="s">
        <v>484</v>
      </c>
      <c r="R39" t="s">
        <v>484</v>
      </c>
      <c r="S39" t="s">
        <v>484</v>
      </c>
      <c r="T39" t="s">
        <v>484</v>
      </c>
      <c r="U39" t="s">
        <v>484</v>
      </c>
      <c r="V39" t="s">
        <v>484</v>
      </c>
      <c r="W39" t="s">
        <v>484</v>
      </c>
      <c r="X39" t="s">
        <v>484</v>
      </c>
      <c r="Y39" t="s">
        <v>484</v>
      </c>
      <c r="Z39" t="s">
        <v>484</v>
      </c>
      <c r="AA39" t="s">
        <v>484</v>
      </c>
      <c r="AB39" t="s">
        <v>484</v>
      </c>
      <c r="AC39" t="s">
        <v>484</v>
      </c>
    </row>
    <row r="40" spans="1:29" hidden="1" x14ac:dyDescent="0.3">
      <c r="A40" s="38" t="s">
        <v>21</v>
      </c>
      <c r="B40" s="46" t="s">
        <v>447</v>
      </c>
      <c r="C40" s="43">
        <v>5</v>
      </c>
      <c r="D40" s="46" t="s">
        <v>465</v>
      </c>
      <c r="E40" s="46">
        <v>3</v>
      </c>
      <c r="F40" s="43">
        <f>IF(AND(OR($E40=0,$E40=1,$E40=2),$C40=5),65,IF(AND($E40=3,$C40=5),62,IF(AND($E40=4,$C40=5),55,IF(AND($E40=5,$C40=5),35,IF($E40=6,0,IF(AND(OR($E40=0,$E40=1,$E40=2),$C40=4),50,IF(AND($E40=3,$C40=4),48,IF(AND($E40=4,$C40=4),43,IF(AND($E40=5,$C40=4),28,0)))))))))</f>
        <v>62</v>
      </c>
      <c r="G40" s="43" t="s">
        <v>57</v>
      </c>
      <c r="H40" s="79" t="s">
        <v>512</v>
      </c>
      <c r="I40" s="79" t="s">
        <v>498</v>
      </c>
      <c r="J40" s="79" t="s">
        <v>489</v>
      </c>
      <c r="K40">
        <v>1</v>
      </c>
      <c r="L40">
        <v>1</v>
      </c>
      <c r="M40">
        <v>1</v>
      </c>
      <c r="N40">
        <v>1</v>
      </c>
      <c r="O40" t="s">
        <v>484</v>
      </c>
      <c r="P40" t="s">
        <v>484</v>
      </c>
      <c r="Q40" t="s">
        <v>484</v>
      </c>
      <c r="R40" t="s">
        <v>484</v>
      </c>
      <c r="S40" t="s">
        <v>484</v>
      </c>
      <c r="T40" t="s">
        <v>484</v>
      </c>
      <c r="U40" t="s">
        <v>484</v>
      </c>
      <c r="V40" t="s">
        <v>484</v>
      </c>
      <c r="W40" t="s">
        <v>484</v>
      </c>
      <c r="X40" t="s">
        <v>484</v>
      </c>
      <c r="Y40" t="s">
        <v>484</v>
      </c>
      <c r="Z40" t="s">
        <v>484</v>
      </c>
      <c r="AA40" t="s">
        <v>484</v>
      </c>
      <c r="AB40" t="s">
        <v>484</v>
      </c>
      <c r="AC40" t="s">
        <v>484</v>
      </c>
    </row>
    <row r="41" spans="1:29" hidden="1" x14ac:dyDescent="0.3">
      <c r="A41" s="38" t="s">
        <v>15</v>
      </c>
      <c r="B41" s="46" t="s">
        <v>447</v>
      </c>
      <c r="C41" s="43">
        <v>4</v>
      </c>
      <c r="D41" s="46" t="s">
        <v>468</v>
      </c>
      <c r="E41" s="46">
        <v>3</v>
      </c>
      <c r="F41" s="43">
        <f>IF(AND(OR($E41=0,$E41=1,$E41=2),$C41=5),65,IF(AND($E41=3,$C41=5),62,IF(AND($E41=4,$C41=5),55,IF(AND($E41=5,$C41=5),35,IF($E41=6,0,IF(AND(OR($E41=0,$E41=1,$E41=2),$C41=4),50,IF(AND($E41=3,$C41=4),48,IF(AND($E41=4,$C41=4),43,IF(AND($E41=5,$C41=4),28,0)))))))))</f>
        <v>48</v>
      </c>
      <c r="G41" s="43" t="s">
        <v>66</v>
      </c>
      <c r="H41" s="79" t="s">
        <v>514</v>
      </c>
      <c r="I41" s="79" t="s">
        <v>498</v>
      </c>
      <c r="J41" s="79" t="s">
        <v>490</v>
      </c>
      <c r="K41">
        <v>1</v>
      </c>
      <c r="L41">
        <v>1</v>
      </c>
      <c r="M41">
        <v>1</v>
      </c>
      <c r="N41">
        <v>1</v>
      </c>
      <c r="O41" t="s">
        <v>484</v>
      </c>
      <c r="P41" t="s">
        <v>484</v>
      </c>
      <c r="Q41" t="s">
        <v>484</v>
      </c>
      <c r="R41" t="s">
        <v>484</v>
      </c>
      <c r="S41" t="s">
        <v>484</v>
      </c>
      <c r="T41" t="s">
        <v>484</v>
      </c>
      <c r="U41" t="s">
        <v>484</v>
      </c>
      <c r="V41" t="s">
        <v>484</v>
      </c>
      <c r="W41" t="s">
        <v>484</v>
      </c>
      <c r="X41" t="s">
        <v>484</v>
      </c>
      <c r="Y41" t="s">
        <v>484</v>
      </c>
      <c r="Z41" t="s">
        <v>484</v>
      </c>
      <c r="AA41" t="s">
        <v>484</v>
      </c>
      <c r="AB41" t="s">
        <v>484</v>
      </c>
      <c r="AC41" t="s">
        <v>484</v>
      </c>
    </row>
    <row r="42" spans="1:29" hidden="1" x14ac:dyDescent="0.3">
      <c r="A42" s="38" t="s">
        <v>39</v>
      </c>
      <c r="B42" s="46" t="s">
        <v>443</v>
      </c>
      <c r="C42" s="43">
        <v>5</v>
      </c>
      <c r="D42" s="46" t="s">
        <v>469</v>
      </c>
      <c r="E42" s="46">
        <v>3</v>
      </c>
      <c r="F42" s="43">
        <f>IF(AND(OR($E42=0,$E42=1,$E42=2),$C42=5),65,IF(AND($E42=3,$C42=5),62,IF(AND($E42=4,$C42=5),55,IF(AND($E42=5,$C42=5),35,IF($E42=6,0,IF(AND(OR($E42=0,$E42=1,$E42=2),$C42=4),50,IF(AND($E42=3,$C42=4),48,IF(AND($E42=4,$C42=4),43,IF(AND($E42=5,$C42=4),28,0)))))))))</f>
        <v>62</v>
      </c>
      <c r="G42" s="43" t="s">
        <v>65</v>
      </c>
      <c r="H42" s="79" t="s">
        <v>520</v>
      </c>
      <c r="I42" s="79" t="s">
        <v>500</v>
      </c>
      <c r="J42" s="79" t="s">
        <v>491</v>
      </c>
      <c r="K42">
        <v>1</v>
      </c>
      <c r="L42">
        <v>1</v>
      </c>
      <c r="M42">
        <v>1</v>
      </c>
      <c r="N42">
        <v>1</v>
      </c>
      <c r="O42" t="s">
        <v>484</v>
      </c>
      <c r="P42" t="s">
        <v>484</v>
      </c>
      <c r="Q42" t="s">
        <v>484</v>
      </c>
      <c r="R42" t="s">
        <v>484</v>
      </c>
      <c r="S42" t="s">
        <v>484</v>
      </c>
      <c r="T42" t="s">
        <v>484</v>
      </c>
      <c r="U42" t="s">
        <v>484</v>
      </c>
      <c r="V42" t="s">
        <v>484</v>
      </c>
      <c r="W42" t="s">
        <v>484</v>
      </c>
      <c r="X42" t="s">
        <v>484</v>
      </c>
      <c r="Y42" t="s">
        <v>484</v>
      </c>
      <c r="Z42" t="s">
        <v>484</v>
      </c>
      <c r="AA42" t="s">
        <v>484</v>
      </c>
      <c r="AB42" t="s">
        <v>484</v>
      </c>
      <c r="AC42" t="s">
        <v>484</v>
      </c>
    </row>
    <row r="43" spans="1:29" hidden="1" x14ac:dyDescent="0.3">
      <c r="A43" s="38" t="s">
        <v>33</v>
      </c>
      <c r="B43" s="46" t="s">
        <v>446</v>
      </c>
      <c r="C43" s="43">
        <v>5</v>
      </c>
      <c r="D43" s="46" t="s">
        <v>465</v>
      </c>
      <c r="E43" s="46">
        <v>3</v>
      </c>
      <c r="F43" s="43">
        <f>IF(AND(OR($E43=0,$E43=1,$E43=2),$C43=5),65,IF(AND($E43=3,$C43=5),62,IF(AND($E43=4,$C43=5),55,IF(AND($E43=5,$C43=5),35,IF($E43=6,0,IF(AND(OR($E43=0,$E43=1,$E43=2),$C43=4),50,IF(AND($E43=3,$C43=4),48,IF(AND($E43=4,$C43=4),43,IF(AND($E43=5,$C43=4),28,0)))))))))</f>
        <v>62</v>
      </c>
      <c r="G43" s="43" t="s">
        <v>52</v>
      </c>
      <c r="H43" s="79" t="s">
        <v>520</v>
      </c>
      <c r="I43" s="79" t="s">
        <v>508</v>
      </c>
      <c r="J43" s="3" t="s">
        <v>490</v>
      </c>
      <c r="K43">
        <v>1</v>
      </c>
      <c r="L43">
        <v>1</v>
      </c>
      <c r="M43">
        <v>1</v>
      </c>
      <c r="N43">
        <v>1</v>
      </c>
      <c r="O43" t="s">
        <v>484</v>
      </c>
      <c r="P43" t="s">
        <v>484</v>
      </c>
      <c r="Q43" t="s">
        <v>484</v>
      </c>
      <c r="R43" t="s">
        <v>484</v>
      </c>
      <c r="S43" t="s">
        <v>484</v>
      </c>
      <c r="T43" t="s">
        <v>484</v>
      </c>
      <c r="U43" t="s">
        <v>484</v>
      </c>
      <c r="V43" t="s">
        <v>484</v>
      </c>
      <c r="W43" t="s">
        <v>484</v>
      </c>
      <c r="X43" t="s">
        <v>484</v>
      </c>
      <c r="Y43" t="s">
        <v>484</v>
      </c>
      <c r="Z43" t="s">
        <v>484</v>
      </c>
      <c r="AA43" t="s">
        <v>484</v>
      </c>
      <c r="AB43" t="s">
        <v>484</v>
      </c>
      <c r="AC43" t="s">
        <v>484</v>
      </c>
    </row>
    <row r="44" spans="1:29" hidden="1" x14ac:dyDescent="0.3">
      <c r="A44" s="38" t="s">
        <v>14</v>
      </c>
      <c r="B44" s="46" t="s">
        <v>442</v>
      </c>
      <c r="C44" s="43">
        <v>4</v>
      </c>
      <c r="D44" s="46" t="s">
        <v>470</v>
      </c>
      <c r="E44" s="46">
        <v>3</v>
      </c>
      <c r="F44" s="43">
        <f>IF(AND(OR($E44=0,$E44=1,$E44=2),$C44=5),65,IF(AND($E44=3,$C44=5),62,IF(AND($E44=4,$C44=5),55,IF(AND($E44=5,$C44=5),35,IF($E44=6,0,IF(AND(OR($E44=0,$E44=1,$E44=2),$C44=4),50,IF(AND($E44=3,$C44=4),48,IF(AND($E44=4,$C44=4),43,IF(AND($E44=5,$C44=4),28,0)))))))))</f>
        <v>48</v>
      </c>
      <c r="G44" s="43" t="s">
        <v>64</v>
      </c>
      <c r="H44" s="79" t="s">
        <v>513</v>
      </c>
      <c r="I44" s="79" t="s">
        <v>504</v>
      </c>
      <c r="J44" s="79" t="s">
        <v>490</v>
      </c>
      <c r="K44">
        <v>1</v>
      </c>
      <c r="L44">
        <v>1</v>
      </c>
      <c r="M44">
        <v>1</v>
      </c>
      <c r="N44">
        <v>1</v>
      </c>
      <c r="O44" t="s">
        <v>484</v>
      </c>
      <c r="P44" t="s">
        <v>484</v>
      </c>
      <c r="Q44" t="s">
        <v>484</v>
      </c>
      <c r="R44" t="s">
        <v>484</v>
      </c>
      <c r="S44" t="s">
        <v>484</v>
      </c>
      <c r="T44" t="s">
        <v>484</v>
      </c>
      <c r="U44" t="s">
        <v>484</v>
      </c>
      <c r="V44" t="s">
        <v>484</v>
      </c>
      <c r="W44" t="s">
        <v>484</v>
      </c>
      <c r="X44" t="s">
        <v>484</v>
      </c>
      <c r="Y44" t="s">
        <v>484</v>
      </c>
      <c r="Z44" t="s">
        <v>484</v>
      </c>
      <c r="AA44" t="s">
        <v>484</v>
      </c>
      <c r="AB44" t="s">
        <v>484</v>
      </c>
      <c r="AC44" t="s">
        <v>484</v>
      </c>
    </row>
    <row r="45" spans="1:29" hidden="1" x14ac:dyDescent="0.3">
      <c r="A45" s="38" t="s">
        <v>17</v>
      </c>
      <c r="B45" s="46" t="s">
        <v>446</v>
      </c>
      <c r="C45" s="43">
        <v>4</v>
      </c>
      <c r="D45" s="46" t="s">
        <v>470</v>
      </c>
      <c r="E45" s="46">
        <v>3</v>
      </c>
      <c r="F45" s="43">
        <f>IF(AND(OR($E45=0,$E45=1,$E45=2),$C45=5),65,IF(AND($E45=3,$C45=5),62,IF(AND($E45=4,$C45=5),55,IF(AND($E45=5,$C45=5),35,IF($E45=6,0,IF(AND(OR($E45=0,$E45=1,$E45=2),$C45=4),50,IF(AND($E45=3,$C45=4),48,IF(AND($E45=4,$C45=4),43,IF(AND($E45=5,$C45=4),28,0)))))))))</f>
        <v>48</v>
      </c>
      <c r="G45" s="43" t="s">
        <v>64</v>
      </c>
      <c r="H45" s="79" t="s">
        <v>513</v>
      </c>
      <c r="I45" s="79" t="s">
        <v>508</v>
      </c>
      <c r="J45" s="79" t="s">
        <v>491</v>
      </c>
      <c r="K45">
        <v>1</v>
      </c>
      <c r="L45">
        <v>1</v>
      </c>
      <c r="M45">
        <v>1</v>
      </c>
      <c r="N45">
        <v>1</v>
      </c>
      <c r="O45" t="s">
        <v>484</v>
      </c>
      <c r="P45" t="s">
        <v>484</v>
      </c>
      <c r="Q45" t="s">
        <v>484</v>
      </c>
      <c r="R45" t="s">
        <v>484</v>
      </c>
      <c r="S45" t="s">
        <v>484</v>
      </c>
      <c r="T45" t="s">
        <v>484</v>
      </c>
      <c r="U45" t="s">
        <v>484</v>
      </c>
      <c r="V45" t="s">
        <v>484</v>
      </c>
      <c r="W45" t="s">
        <v>484</v>
      </c>
      <c r="X45" t="s">
        <v>484</v>
      </c>
      <c r="Y45" t="s">
        <v>484</v>
      </c>
      <c r="Z45" t="s">
        <v>484</v>
      </c>
      <c r="AA45" t="s">
        <v>484</v>
      </c>
      <c r="AB45" t="s">
        <v>484</v>
      </c>
      <c r="AC45" t="s">
        <v>484</v>
      </c>
    </row>
    <row r="46" spans="1:29" hidden="1" x14ac:dyDescent="0.3">
      <c r="A46" s="38" t="s">
        <v>9</v>
      </c>
      <c r="B46" s="46" t="s">
        <v>446</v>
      </c>
      <c r="C46" s="43">
        <v>4</v>
      </c>
      <c r="D46" s="46" t="s">
        <v>468</v>
      </c>
      <c r="E46" s="46">
        <v>3</v>
      </c>
      <c r="F46" s="43">
        <f>IF(AND(OR($E46=0,$E46=1,$E46=2),$C46=5),65,IF(AND($E46=3,$C46=5),62,IF(AND($E46=4,$C46=5),55,IF(AND($E46=5,$C46=5),35,IF($E46=6,0,IF(AND(OR($E46=0,$E46=1,$E46=2),$C46=4),50,IF(AND($E46=3,$C46=4),48,IF(AND($E46=4,$C46=4),43,IF(AND($E46=5,$C46=4),28,0)))))))))</f>
        <v>48</v>
      </c>
      <c r="G46" s="43" t="s">
        <v>63</v>
      </c>
      <c r="H46" s="79" t="s">
        <v>519</v>
      </c>
      <c r="I46" s="79" t="s">
        <v>508</v>
      </c>
      <c r="J46" s="3" t="s">
        <v>495</v>
      </c>
      <c r="K46">
        <v>1</v>
      </c>
      <c r="L46">
        <v>1</v>
      </c>
      <c r="M46">
        <v>1</v>
      </c>
      <c r="N46">
        <v>1</v>
      </c>
      <c r="O46" t="s">
        <v>484</v>
      </c>
      <c r="P46" t="s">
        <v>484</v>
      </c>
      <c r="Q46" t="s">
        <v>484</v>
      </c>
      <c r="R46" t="s">
        <v>484</v>
      </c>
      <c r="S46" t="s">
        <v>484</v>
      </c>
      <c r="T46" t="s">
        <v>484</v>
      </c>
      <c r="U46" t="s">
        <v>484</v>
      </c>
      <c r="V46" t="s">
        <v>484</v>
      </c>
      <c r="W46" t="s">
        <v>484</v>
      </c>
      <c r="X46" t="s">
        <v>484</v>
      </c>
      <c r="Y46" t="s">
        <v>484</v>
      </c>
      <c r="Z46" t="s">
        <v>484</v>
      </c>
      <c r="AA46" t="s">
        <v>484</v>
      </c>
      <c r="AB46" t="s">
        <v>484</v>
      </c>
      <c r="AC46" t="s">
        <v>484</v>
      </c>
    </row>
    <row r="47" spans="1:29" hidden="1" x14ac:dyDescent="0.3">
      <c r="A47" s="38" t="s">
        <v>31</v>
      </c>
      <c r="B47" s="46" t="s">
        <v>446</v>
      </c>
      <c r="C47" s="43">
        <v>5</v>
      </c>
      <c r="D47" s="46" t="s">
        <v>466</v>
      </c>
      <c r="E47" s="46">
        <v>2</v>
      </c>
      <c r="F47" s="43">
        <f>IF(AND(OR($E47=0,$E47=1,$E47=2),$C47=5),65,IF(AND($E47=3,$C47=5),62,IF(AND($E47=4,$C47=5),55,IF(AND($E47=5,$C47=5),35,IF($E47=6,0,IF(AND(OR($E47=0,$E47=1,$E47=2),$C47=4),50,IF(AND($E47=3,$C47=4),48,IF(AND($E47=4,$C47=4),43,IF(AND($E47=5,$C47=4),28,0)))))))))</f>
        <v>65</v>
      </c>
      <c r="G47" s="43" t="s">
        <v>67</v>
      </c>
      <c r="H47" s="79" t="s">
        <v>520</v>
      </c>
      <c r="I47" s="79" t="s">
        <v>508</v>
      </c>
      <c r="J47" s="79" t="s">
        <v>490</v>
      </c>
      <c r="K47">
        <v>1</v>
      </c>
      <c r="L47">
        <v>1</v>
      </c>
      <c r="M47">
        <v>1</v>
      </c>
      <c r="N47">
        <v>1</v>
      </c>
      <c r="O47" t="s">
        <v>484</v>
      </c>
      <c r="P47" t="s">
        <v>484</v>
      </c>
      <c r="Q47" t="s">
        <v>484</v>
      </c>
      <c r="R47" t="s">
        <v>484</v>
      </c>
      <c r="S47" t="s">
        <v>484</v>
      </c>
      <c r="T47" t="s">
        <v>484</v>
      </c>
      <c r="U47" t="s">
        <v>484</v>
      </c>
      <c r="V47" t="s">
        <v>484</v>
      </c>
      <c r="W47" t="s">
        <v>484</v>
      </c>
      <c r="X47" t="s">
        <v>484</v>
      </c>
      <c r="Y47" t="s">
        <v>484</v>
      </c>
      <c r="Z47" t="s">
        <v>484</v>
      </c>
      <c r="AA47" t="s">
        <v>484</v>
      </c>
      <c r="AB47" t="s">
        <v>484</v>
      </c>
      <c r="AC47" t="s">
        <v>484</v>
      </c>
    </row>
    <row r="48" spans="1:29" hidden="1" x14ac:dyDescent="0.3">
      <c r="A48" s="38" t="s">
        <v>20</v>
      </c>
      <c r="B48" s="46" t="s">
        <v>445</v>
      </c>
      <c r="C48" s="43">
        <v>5</v>
      </c>
      <c r="D48" s="46" t="s">
        <v>468</v>
      </c>
      <c r="E48" s="46">
        <v>2</v>
      </c>
      <c r="F48" s="43">
        <f>IF(AND(OR($E48=0,$E48=1,$E48=2),$C48=5),65,IF(AND($E48=3,$C48=5),62,IF(AND($E48=4,$C48=5),55,IF(AND($E48=5,$C48=5),35,IF($E48=6,0,IF(AND(OR($E48=0,$E48=1,$E48=2),$C48=4),50,IF(AND($E48=3,$C48=4),48,IF(AND($E48=4,$C48=4),43,IF(AND($E48=5,$C48=4),28,0)))))))))</f>
        <v>65</v>
      </c>
      <c r="G48" s="43" t="s">
        <v>63</v>
      </c>
      <c r="H48" s="79" t="s">
        <v>513</v>
      </c>
      <c r="I48" s="79" t="s">
        <v>501</v>
      </c>
      <c r="J48" s="79" t="s">
        <v>489</v>
      </c>
      <c r="K48">
        <v>1</v>
      </c>
      <c r="L48">
        <v>1</v>
      </c>
      <c r="M48">
        <v>1</v>
      </c>
      <c r="N48">
        <v>1</v>
      </c>
      <c r="O48" t="s">
        <v>484</v>
      </c>
      <c r="P48" t="s">
        <v>484</v>
      </c>
      <c r="Q48" t="s">
        <v>484</v>
      </c>
      <c r="R48" t="s">
        <v>484</v>
      </c>
      <c r="S48" t="s">
        <v>484</v>
      </c>
      <c r="T48" t="s">
        <v>484</v>
      </c>
      <c r="U48" t="s">
        <v>484</v>
      </c>
      <c r="V48" t="s">
        <v>484</v>
      </c>
      <c r="W48" t="s">
        <v>484</v>
      </c>
      <c r="X48" t="s">
        <v>484</v>
      </c>
      <c r="Y48" t="s">
        <v>484</v>
      </c>
      <c r="Z48" t="s">
        <v>484</v>
      </c>
      <c r="AA48" t="s">
        <v>484</v>
      </c>
      <c r="AB48" t="s">
        <v>484</v>
      </c>
      <c r="AC48" t="s">
        <v>484</v>
      </c>
    </row>
    <row r="49" spans="1:29" hidden="1" x14ac:dyDescent="0.3">
      <c r="A49" s="38" t="s">
        <v>26</v>
      </c>
      <c r="B49" s="46" t="s">
        <v>444</v>
      </c>
      <c r="C49" s="43">
        <v>5</v>
      </c>
      <c r="D49" s="46" t="s">
        <v>469</v>
      </c>
      <c r="E49" s="46">
        <v>1</v>
      </c>
      <c r="F49" s="43">
        <f>IF(AND(OR($E49=0,$E49=1,$E49=2),$C49=5),65,IF(AND($E49=3,$C49=5),62,IF(AND($E49=4,$C49=5),55,IF(AND($E49=5,$C49=5),35,IF($E49=6,0,IF(AND(OR($E49=0,$E49=1,$E49=2),$C49=4),50,IF(AND($E49=3,$C49=4),48,IF(AND($E49=4,$C49=4),43,IF(AND($E49=5,$C49=4),28,0)))))))))</f>
        <v>65</v>
      </c>
      <c r="G49" s="43" t="s">
        <v>65</v>
      </c>
      <c r="H49" s="79" t="s">
        <v>518</v>
      </c>
      <c r="I49" s="79" t="s">
        <v>509</v>
      </c>
      <c r="J49" s="3" t="s">
        <v>495</v>
      </c>
      <c r="K49">
        <v>1</v>
      </c>
      <c r="L49">
        <v>1</v>
      </c>
      <c r="M49">
        <v>1</v>
      </c>
      <c r="N49">
        <v>1</v>
      </c>
      <c r="O49" t="s">
        <v>484</v>
      </c>
      <c r="P49" t="s">
        <v>484</v>
      </c>
      <c r="Q49" t="s">
        <v>484</v>
      </c>
      <c r="R49" t="s">
        <v>484</v>
      </c>
      <c r="S49" t="s">
        <v>484</v>
      </c>
      <c r="T49" t="s">
        <v>484</v>
      </c>
      <c r="U49" t="s">
        <v>484</v>
      </c>
      <c r="V49" t="s">
        <v>484</v>
      </c>
      <c r="W49" t="s">
        <v>484</v>
      </c>
      <c r="X49" t="s">
        <v>484</v>
      </c>
      <c r="Y49" t="s">
        <v>484</v>
      </c>
      <c r="Z49" t="s">
        <v>484</v>
      </c>
      <c r="AA49" t="s">
        <v>484</v>
      </c>
      <c r="AB49" t="s">
        <v>484</v>
      </c>
      <c r="AC49" t="s">
        <v>484</v>
      </c>
    </row>
    <row r="50" spans="1:29" x14ac:dyDescent="0.3">
      <c r="A50" s="38" t="s">
        <v>379</v>
      </c>
      <c r="B50" s="46" t="s">
        <v>448</v>
      </c>
      <c r="C50" s="43">
        <v>5</v>
      </c>
      <c r="D50" s="46" t="s">
        <v>196</v>
      </c>
      <c r="E50" s="46">
        <v>0</v>
      </c>
      <c r="F50" s="43">
        <f>IF(AND(OR($E50=0,$E50=1,$E50=2),$C50=5),65,IF(AND($E50=3,$C50=5),62,IF(AND($E50=4,$C50=5),55,IF(AND($E50=5,$C50=5),35,IF($E50=6,0,IF(AND(OR($E50=0,$E50=1,$E50=2),$C50=4),50,IF(AND($E50=3,$C50=4),48,IF(AND($E50=4,$C50=4),43,IF(AND($E50=5,$C50=4),28,0)))))))))</f>
        <v>65</v>
      </c>
      <c r="G50" s="43" t="s">
        <v>77</v>
      </c>
      <c r="H50" s="3" t="s">
        <v>515</v>
      </c>
      <c r="I50" s="79" t="s">
        <v>496</v>
      </c>
      <c r="J50" s="79" t="s">
        <v>493</v>
      </c>
      <c r="K50">
        <v>1</v>
      </c>
      <c r="L50">
        <v>1</v>
      </c>
      <c r="M50">
        <v>1</v>
      </c>
      <c r="N50">
        <v>1</v>
      </c>
      <c r="O50" t="s">
        <v>484</v>
      </c>
      <c r="P50" t="s">
        <v>484</v>
      </c>
      <c r="Q50" t="s">
        <v>484</v>
      </c>
      <c r="R50" t="s">
        <v>484</v>
      </c>
      <c r="S50" t="s">
        <v>484</v>
      </c>
      <c r="T50" t="s">
        <v>484</v>
      </c>
      <c r="U50" t="s">
        <v>484</v>
      </c>
      <c r="V50" t="s">
        <v>484</v>
      </c>
      <c r="W50" t="s">
        <v>484</v>
      </c>
      <c r="X50" t="s">
        <v>484</v>
      </c>
      <c r="Y50" t="s">
        <v>484</v>
      </c>
      <c r="Z50" t="s">
        <v>484</v>
      </c>
      <c r="AA50" t="s">
        <v>484</v>
      </c>
      <c r="AB50">
        <v>1</v>
      </c>
      <c r="AC50">
        <v>1</v>
      </c>
    </row>
    <row r="51" spans="1:29" hidden="1" x14ac:dyDescent="0.3">
      <c r="A51" s="38" t="s">
        <v>451</v>
      </c>
      <c r="B51" s="46" t="s">
        <v>445</v>
      </c>
      <c r="C51" s="43">
        <v>5</v>
      </c>
      <c r="D51" s="46" t="s">
        <v>466</v>
      </c>
      <c r="E51" s="46">
        <v>0</v>
      </c>
      <c r="F51" s="43">
        <f>IF(AND(OR($E51=0,$E51=1,$E51=2),$C51=5),65,IF(AND($E51=3,$C51=5),62,IF(AND($E51=4,$C51=5),55,IF(AND($E51=5,$C51=5),35,IF($E51=6,0,IF(AND(OR($E51=0,$E51=1,$E51=2),$C51=4),50,IF(AND($E51=3,$C51=4),48,IF(AND($E51=4,$C51=4),43,IF(AND($E51=5,$C51=4),28,0)))))))))</f>
        <v>65</v>
      </c>
      <c r="G51" s="43" t="s">
        <v>78</v>
      </c>
      <c r="H51" s="3" t="s">
        <v>516</v>
      </c>
      <c r="I51" s="79" t="s">
        <v>502</v>
      </c>
      <c r="J51" s="79" t="s">
        <v>492</v>
      </c>
      <c r="K51">
        <v>1</v>
      </c>
      <c r="L51">
        <v>1</v>
      </c>
      <c r="M51">
        <v>1</v>
      </c>
      <c r="N51">
        <v>1</v>
      </c>
      <c r="O51" t="s">
        <v>484</v>
      </c>
      <c r="P51" t="s">
        <v>484</v>
      </c>
      <c r="Q51" t="s">
        <v>484</v>
      </c>
      <c r="R51" t="s">
        <v>484</v>
      </c>
      <c r="S51" t="s">
        <v>484</v>
      </c>
      <c r="T51" t="s">
        <v>484</v>
      </c>
      <c r="U51" t="s">
        <v>484</v>
      </c>
      <c r="V51" t="s">
        <v>484</v>
      </c>
      <c r="W51" t="s">
        <v>484</v>
      </c>
      <c r="X51" t="s">
        <v>484</v>
      </c>
      <c r="Y51" t="s">
        <v>484</v>
      </c>
      <c r="Z51" t="s">
        <v>484</v>
      </c>
      <c r="AA51" t="s">
        <v>484</v>
      </c>
      <c r="AB51" t="s">
        <v>484</v>
      </c>
      <c r="AC51" t="s">
        <v>484</v>
      </c>
    </row>
    <row r="52" spans="1:29" hidden="1" x14ac:dyDescent="0.3">
      <c r="A52" s="39" t="s">
        <v>458</v>
      </c>
      <c r="B52" s="46" t="s">
        <v>444</v>
      </c>
      <c r="C52" s="43">
        <v>5</v>
      </c>
      <c r="D52" s="46" t="s">
        <v>470</v>
      </c>
      <c r="E52" s="46">
        <v>0</v>
      </c>
      <c r="F52" s="43">
        <f>IF(AND(OR($E52=0,$E52=1,$E52=2),$C52=5),65,IF(AND($E52=3,$C52=5),62,IF(AND($E52=4,$C52=5),55,IF(AND($E52=5,$C52=5),35,IF($E52=6,0,IF(AND(OR($E52=0,$E52=1,$E52=2),$C52=4),50,IF(AND($E52=3,$C52=4),48,IF(AND($E52=4,$C52=4),43,IF(AND($E52=5,$C52=4),28,0)))))))))</f>
        <v>65</v>
      </c>
      <c r="G52" s="43" t="s">
        <v>463</v>
      </c>
      <c r="H52" s="3" t="s">
        <v>513</v>
      </c>
      <c r="I52" s="79" t="s">
        <v>510</v>
      </c>
      <c r="J52" s="3" t="s">
        <v>495</v>
      </c>
      <c r="K52">
        <v>1</v>
      </c>
      <c r="L52">
        <v>1</v>
      </c>
      <c r="M52">
        <v>1</v>
      </c>
      <c r="N52">
        <v>1</v>
      </c>
      <c r="O52" t="s">
        <v>484</v>
      </c>
      <c r="P52" t="s">
        <v>484</v>
      </c>
      <c r="Q52" t="s">
        <v>484</v>
      </c>
      <c r="R52" t="s">
        <v>484</v>
      </c>
      <c r="S52" t="s">
        <v>484</v>
      </c>
      <c r="T52" t="s">
        <v>484</v>
      </c>
      <c r="U52" t="s">
        <v>484</v>
      </c>
      <c r="V52" t="s">
        <v>484</v>
      </c>
      <c r="W52" t="s">
        <v>484</v>
      </c>
      <c r="X52" t="s">
        <v>484</v>
      </c>
      <c r="Y52" t="s">
        <v>484</v>
      </c>
      <c r="Z52" t="s">
        <v>484</v>
      </c>
      <c r="AA52" t="s">
        <v>484</v>
      </c>
      <c r="AB52" t="s">
        <v>484</v>
      </c>
      <c r="AC52" t="s">
        <v>484</v>
      </c>
    </row>
    <row r="53" spans="1:29" hidden="1" x14ac:dyDescent="0.3">
      <c r="A53" s="38" t="s">
        <v>43</v>
      </c>
      <c r="B53" s="46" t="s">
        <v>447</v>
      </c>
      <c r="C53" s="43">
        <v>5</v>
      </c>
      <c r="D53" s="46" t="s">
        <v>196</v>
      </c>
      <c r="E53" s="46">
        <v>0</v>
      </c>
      <c r="F53" s="43">
        <f>IF(AND(OR($E53=0,$E53=1,$E53=2),$C53=5),65,IF(AND($E53=3,$C53=5),62,IF(AND($E53=4,$C53=5),55,IF(AND($E53=5,$C53=5),35,IF($E53=6,0,IF(AND(OR($E53=0,$E53=1,$E53=2),$C53=4),50,IF(AND($E53=3,$C53=4),48,IF(AND($E53=4,$C53=4),43,IF(AND($E53=5,$C53=4),28,0)))))))))</f>
        <v>65</v>
      </c>
      <c r="G53" s="43" t="s">
        <v>69</v>
      </c>
      <c r="H53" s="3" t="s">
        <v>517</v>
      </c>
      <c r="I53" s="79" t="s">
        <v>497</v>
      </c>
      <c r="J53" s="79" t="s">
        <v>491</v>
      </c>
      <c r="K53">
        <v>1</v>
      </c>
      <c r="L53">
        <v>1</v>
      </c>
      <c r="M53">
        <v>1</v>
      </c>
      <c r="N53">
        <v>1</v>
      </c>
      <c r="O53" t="s">
        <v>484</v>
      </c>
      <c r="P53" t="s">
        <v>484</v>
      </c>
      <c r="Q53" t="s">
        <v>484</v>
      </c>
      <c r="R53" t="s">
        <v>484</v>
      </c>
      <c r="S53" t="s">
        <v>484</v>
      </c>
      <c r="T53" t="s">
        <v>484</v>
      </c>
      <c r="U53" t="s">
        <v>484</v>
      </c>
      <c r="V53" t="s">
        <v>484</v>
      </c>
      <c r="W53" t="s">
        <v>484</v>
      </c>
      <c r="X53" t="s">
        <v>484</v>
      </c>
      <c r="Y53" t="s">
        <v>484</v>
      </c>
      <c r="Z53" t="s">
        <v>484</v>
      </c>
      <c r="AA53" t="s">
        <v>484</v>
      </c>
      <c r="AB53" t="s">
        <v>484</v>
      </c>
      <c r="AC53" t="s">
        <v>484</v>
      </c>
    </row>
    <row r="54" spans="1:29" hidden="1" x14ac:dyDescent="0.3">
      <c r="A54" s="38" t="s">
        <v>378</v>
      </c>
      <c r="B54" s="46" t="s">
        <v>445</v>
      </c>
      <c r="C54" s="43">
        <v>5</v>
      </c>
      <c r="D54" s="46" t="s">
        <v>469</v>
      </c>
      <c r="E54" s="46">
        <v>0</v>
      </c>
      <c r="F54" s="43">
        <f>IF(AND(OR($E54=0,$E54=1,$E54=2),$C54=5),65,IF(AND($E54=3,$C54=5),62,IF(AND($E54=4,$C54=5),55,IF(AND($E54=5,$C54=5),35,IF($E54=6,0,IF(AND(OR($E54=0,$E54=1,$E54=2),$C54=4),50,IF(AND($E54=3,$C54=4),48,IF(AND($E54=4,$C54=4),43,IF(AND($E54=5,$C54=4),28,0)))))))))</f>
        <v>65</v>
      </c>
      <c r="G54" s="43" t="s">
        <v>59</v>
      </c>
      <c r="H54" s="79" t="s">
        <v>513</v>
      </c>
      <c r="I54" s="79" t="s">
        <v>502</v>
      </c>
      <c r="J54" s="79" t="s">
        <v>493</v>
      </c>
      <c r="K54">
        <v>1</v>
      </c>
      <c r="L54">
        <v>1</v>
      </c>
      <c r="M54">
        <v>1</v>
      </c>
      <c r="N54">
        <v>1</v>
      </c>
      <c r="O54" t="s">
        <v>484</v>
      </c>
      <c r="P54" t="s">
        <v>484</v>
      </c>
      <c r="Q54" t="s">
        <v>484</v>
      </c>
      <c r="R54" t="s">
        <v>484</v>
      </c>
      <c r="S54" t="s">
        <v>484</v>
      </c>
      <c r="T54" t="s">
        <v>484</v>
      </c>
      <c r="U54" t="s">
        <v>484</v>
      </c>
      <c r="V54" t="s">
        <v>484</v>
      </c>
      <c r="W54" t="s">
        <v>484</v>
      </c>
      <c r="X54" t="s">
        <v>484</v>
      </c>
      <c r="Y54" t="s">
        <v>484</v>
      </c>
      <c r="Z54" t="s">
        <v>484</v>
      </c>
      <c r="AA54" t="s">
        <v>484</v>
      </c>
      <c r="AB54" t="s">
        <v>484</v>
      </c>
      <c r="AC54" t="s">
        <v>484</v>
      </c>
    </row>
    <row r="55" spans="1:29" hidden="1" x14ac:dyDescent="0.3">
      <c r="A55" s="38" t="s">
        <v>29</v>
      </c>
      <c r="B55" s="46" t="s">
        <v>447</v>
      </c>
      <c r="C55" s="43">
        <v>5</v>
      </c>
      <c r="D55" s="46" t="s">
        <v>470</v>
      </c>
      <c r="E55" s="46">
        <v>0</v>
      </c>
      <c r="F55" s="43">
        <f>IF(AND(OR($E55=0,$E55=1,$E55=2),$C55=5),65,IF(AND($E55=3,$C55=5),62,IF(AND($E55=4,$C55=5),55,IF(AND($E55=5,$C55=5),35,IF($E55=6,0,IF(AND(OR($E55=0,$E55=1,$E55=2),$C55=4),50,IF(AND($E55=3,$C55=4),48,IF(AND($E55=4,$C55=4),43,IF(AND($E55=5,$C55=4),28,0)))))))))</f>
        <v>65</v>
      </c>
      <c r="G55" s="43" t="s">
        <v>62</v>
      </c>
      <c r="H55" s="3" t="s">
        <v>519</v>
      </c>
      <c r="I55" s="79" t="s">
        <v>498</v>
      </c>
      <c r="J55" s="3" t="s">
        <v>489</v>
      </c>
      <c r="K55">
        <v>1</v>
      </c>
      <c r="L55">
        <v>1</v>
      </c>
      <c r="M55">
        <v>1</v>
      </c>
      <c r="N55">
        <v>1</v>
      </c>
      <c r="O55" t="s">
        <v>484</v>
      </c>
      <c r="P55" t="s">
        <v>484</v>
      </c>
      <c r="Q55" t="s">
        <v>484</v>
      </c>
      <c r="R55" t="s">
        <v>484</v>
      </c>
      <c r="S55" t="s">
        <v>484</v>
      </c>
      <c r="T55" t="s">
        <v>484</v>
      </c>
      <c r="U55" t="s">
        <v>484</v>
      </c>
      <c r="V55" t="s">
        <v>484</v>
      </c>
      <c r="W55" t="s">
        <v>484</v>
      </c>
      <c r="X55" t="s">
        <v>484</v>
      </c>
      <c r="Y55" t="s">
        <v>484</v>
      </c>
      <c r="Z55" t="s">
        <v>484</v>
      </c>
      <c r="AA55" t="s">
        <v>484</v>
      </c>
      <c r="AB55" t="s">
        <v>484</v>
      </c>
      <c r="AC55" t="s">
        <v>484</v>
      </c>
    </row>
    <row r="56" spans="1:29" x14ac:dyDescent="0.3">
      <c r="A56" s="38" t="s">
        <v>455</v>
      </c>
      <c r="B56" s="46" t="s">
        <v>448</v>
      </c>
      <c r="C56" s="43">
        <v>5</v>
      </c>
      <c r="D56" s="46" t="s">
        <v>466</v>
      </c>
      <c r="E56" s="46">
        <v>0</v>
      </c>
      <c r="F56" s="43">
        <f>IF(AND(OR($E56=0,$E56=1,$E56=2),$C56=5),65,IF(AND($E56=3,$C56=5),62,IF(AND($E56=4,$C56=5),55,IF(AND($E56=5,$C56=5),35,IF($E56=6,0,IF(AND(OR($E56=0,$E56=1,$E56=2),$C56=4),50,IF(AND($E56=3,$C56=4),48,IF(AND($E56=4,$C56=4),43,IF(AND($E56=5,$C56=4),28,0)))))))))</f>
        <v>65</v>
      </c>
      <c r="G56" s="43" t="s">
        <v>78</v>
      </c>
      <c r="H56" s="3" t="s">
        <v>515</v>
      </c>
      <c r="I56" s="79" t="s">
        <v>496</v>
      </c>
      <c r="J56" s="79" t="s">
        <v>492</v>
      </c>
      <c r="K56">
        <v>1</v>
      </c>
      <c r="L56">
        <v>1</v>
      </c>
      <c r="M56">
        <v>1</v>
      </c>
      <c r="N56">
        <v>1</v>
      </c>
      <c r="O56" t="s">
        <v>484</v>
      </c>
      <c r="P56" t="s">
        <v>484</v>
      </c>
      <c r="Q56" t="s">
        <v>484</v>
      </c>
      <c r="R56" t="s">
        <v>484</v>
      </c>
      <c r="S56" t="s">
        <v>484</v>
      </c>
      <c r="T56" t="s">
        <v>484</v>
      </c>
      <c r="U56" t="s">
        <v>484</v>
      </c>
      <c r="V56" t="s">
        <v>484</v>
      </c>
      <c r="W56" t="s">
        <v>484</v>
      </c>
      <c r="X56" t="s">
        <v>484</v>
      </c>
      <c r="Y56" t="s">
        <v>484</v>
      </c>
      <c r="Z56" t="s">
        <v>484</v>
      </c>
      <c r="AA56" t="s">
        <v>484</v>
      </c>
      <c r="AB56">
        <v>1</v>
      </c>
      <c r="AC56">
        <v>1</v>
      </c>
    </row>
    <row r="57" spans="1:29" hidden="1" x14ac:dyDescent="0.3">
      <c r="A57" s="39" t="s">
        <v>457</v>
      </c>
      <c r="B57" s="46" t="s">
        <v>447</v>
      </c>
      <c r="C57" s="43">
        <v>5</v>
      </c>
      <c r="D57" s="46" t="s">
        <v>467</v>
      </c>
      <c r="E57" s="46">
        <v>0</v>
      </c>
      <c r="F57" s="43">
        <f>IF(AND(OR($E57=0,$E57=1,$E57=2),$C57=5),65,IF(AND($E57=3,$C57=5),62,IF(AND($E57=4,$C57=5),55,IF(AND($E57=5,$C57=5),35,IF($E57=6,0,IF(AND(OR($E57=0,$E57=1,$E57=2),$C57=4),50,IF(AND($E57=3,$C57=4),48,IF(AND($E57=4,$C57=4),43,IF(AND($E57=5,$C57=4),28,0)))))))))</f>
        <v>65</v>
      </c>
      <c r="G57" s="43" t="s">
        <v>462</v>
      </c>
      <c r="H57" s="3" t="s">
        <v>515</v>
      </c>
      <c r="I57" s="3" t="s">
        <v>497</v>
      </c>
      <c r="J57" s="3" t="s">
        <v>494</v>
      </c>
      <c r="K57">
        <v>1</v>
      </c>
      <c r="L57">
        <v>1</v>
      </c>
      <c r="M57">
        <v>1</v>
      </c>
      <c r="N57">
        <v>1</v>
      </c>
      <c r="O57" t="s">
        <v>484</v>
      </c>
      <c r="P57" t="s">
        <v>484</v>
      </c>
      <c r="Q57" t="s">
        <v>484</v>
      </c>
      <c r="R57" t="s">
        <v>484</v>
      </c>
      <c r="S57" t="s">
        <v>484</v>
      </c>
      <c r="T57" t="s">
        <v>484</v>
      </c>
      <c r="U57" t="s">
        <v>484</v>
      </c>
      <c r="V57" t="s">
        <v>484</v>
      </c>
      <c r="W57" t="s">
        <v>484</v>
      </c>
      <c r="X57" t="s">
        <v>484</v>
      </c>
      <c r="Y57" t="s">
        <v>484</v>
      </c>
      <c r="Z57" t="s">
        <v>484</v>
      </c>
      <c r="AA57" t="s">
        <v>484</v>
      </c>
      <c r="AB57" t="s">
        <v>484</v>
      </c>
      <c r="AC57" t="s">
        <v>484</v>
      </c>
    </row>
    <row r="58" spans="1:29" hidden="1" x14ac:dyDescent="0.3">
      <c r="A58" s="38" t="s">
        <v>23</v>
      </c>
      <c r="B58" s="46" t="s">
        <v>444</v>
      </c>
      <c r="C58" s="43">
        <v>5</v>
      </c>
      <c r="D58" s="46" t="s">
        <v>470</v>
      </c>
      <c r="E58" s="46">
        <v>0</v>
      </c>
      <c r="F58" s="43">
        <f>IF(AND(OR($E58=0,$E58=1,$E58=2),$C58=5),65,IF(AND($E58=3,$C58=5),62,IF(AND($E58=4,$C58=5),55,IF(AND($E58=5,$C58=5),35,IF($E58=6,0,IF(AND(OR($E58=0,$E58=1,$E58=2),$C58=4),50,IF(AND($E58=3,$C58=4),48,IF(AND($E58=4,$C58=4),43,IF(AND($E58=5,$C58=4),28,0)))))))))</f>
        <v>65</v>
      </c>
      <c r="G58" s="43" t="s">
        <v>62</v>
      </c>
      <c r="H58" s="79" t="s">
        <v>518</v>
      </c>
      <c r="I58" s="79" t="s">
        <v>509</v>
      </c>
      <c r="J58" s="3" t="s">
        <v>495</v>
      </c>
      <c r="K58">
        <v>1</v>
      </c>
      <c r="L58">
        <v>1</v>
      </c>
      <c r="M58">
        <v>1</v>
      </c>
      <c r="N58">
        <v>1</v>
      </c>
      <c r="O58" t="s">
        <v>484</v>
      </c>
      <c r="P58" t="s">
        <v>484</v>
      </c>
      <c r="Q58" t="s">
        <v>484</v>
      </c>
      <c r="R58" t="s">
        <v>484</v>
      </c>
      <c r="S58" t="s">
        <v>484</v>
      </c>
      <c r="T58" t="s">
        <v>484</v>
      </c>
      <c r="U58" t="s">
        <v>484</v>
      </c>
      <c r="V58" t="s">
        <v>484</v>
      </c>
      <c r="W58" t="s">
        <v>484</v>
      </c>
      <c r="X58" t="s">
        <v>484</v>
      </c>
      <c r="Y58" t="s">
        <v>484</v>
      </c>
      <c r="Z58" t="s">
        <v>484</v>
      </c>
      <c r="AA58" t="s">
        <v>484</v>
      </c>
      <c r="AB58" t="s">
        <v>484</v>
      </c>
      <c r="AC58" t="s">
        <v>484</v>
      </c>
    </row>
    <row r="59" spans="1:29" hidden="1" x14ac:dyDescent="0.3">
      <c r="A59" s="38" t="s">
        <v>32</v>
      </c>
      <c r="B59" s="46" t="s">
        <v>447</v>
      </c>
      <c r="C59" s="43">
        <v>5</v>
      </c>
      <c r="D59" s="46" t="s">
        <v>196</v>
      </c>
      <c r="E59" s="46">
        <v>0</v>
      </c>
      <c r="F59" s="43">
        <f>IF(AND(OR($E59=0,$E59=1,$E59=2),$C59=5),65,IF(AND($E59=3,$C59=5),62,IF(AND($E59=4,$C59=5),55,IF(AND($E59=5,$C59=5),35,IF($E59=6,0,IF(AND(OR($E59=0,$E59=1,$E59=2),$C59=4),50,IF(AND($E59=3,$C59=4),48,IF(AND($E59=4,$C59=4),43,IF(AND($E59=5,$C59=4),28,0)))))))))</f>
        <v>65</v>
      </c>
      <c r="G59" s="43" t="s">
        <v>69</v>
      </c>
      <c r="H59" s="79" t="s">
        <v>518</v>
      </c>
      <c r="I59" s="79" t="s">
        <v>498</v>
      </c>
      <c r="J59" s="79" t="s">
        <v>490</v>
      </c>
      <c r="K59">
        <v>1</v>
      </c>
      <c r="L59">
        <v>1</v>
      </c>
      <c r="M59">
        <v>1</v>
      </c>
      <c r="N59">
        <v>1</v>
      </c>
      <c r="O59" t="s">
        <v>484</v>
      </c>
      <c r="P59" t="s">
        <v>484</v>
      </c>
      <c r="Q59" t="s">
        <v>484</v>
      </c>
      <c r="R59" t="s">
        <v>484</v>
      </c>
      <c r="S59" t="s">
        <v>484</v>
      </c>
      <c r="T59" t="s">
        <v>484</v>
      </c>
      <c r="U59" t="s">
        <v>484</v>
      </c>
      <c r="V59" t="s">
        <v>484</v>
      </c>
      <c r="W59" t="s">
        <v>484</v>
      </c>
      <c r="X59" t="s">
        <v>484</v>
      </c>
      <c r="Y59" t="s">
        <v>484</v>
      </c>
      <c r="Z59" t="s">
        <v>484</v>
      </c>
      <c r="AA59" t="s">
        <v>484</v>
      </c>
      <c r="AB59" t="s">
        <v>484</v>
      </c>
      <c r="AC59" t="s">
        <v>484</v>
      </c>
    </row>
    <row r="60" spans="1:29" hidden="1" x14ac:dyDescent="0.3">
      <c r="A60" s="39" t="s">
        <v>460</v>
      </c>
      <c r="B60" s="46" t="s">
        <v>443</v>
      </c>
      <c r="C60" s="43">
        <v>5</v>
      </c>
      <c r="D60" s="46" t="s">
        <v>466</v>
      </c>
      <c r="E60" s="46">
        <v>0</v>
      </c>
      <c r="F60" s="43">
        <f>IF(AND(OR($E60=0,$E60=1,$E60=2),$C60=5),65,IF(AND($E60=3,$C60=5),62,IF(AND($E60=4,$C60=5),55,IF(AND($E60=5,$C60=5),35,IF($E60=6,0,IF(AND(OR($E60=0,$E60=1,$E60=2),$C60=4),50,IF(AND($E60=3,$C60=4),48,IF(AND($E60=4,$C60=4),43,IF(AND($E60=5,$C60=4),28,0)))))))))</f>
        <v>65</v>
      </c>
      <c r="G60" s="43" t="s">
        <v>471</v>
      </c>
      <c r="H60" s="3" t="s">
        <v>516</v>
      </c>
      <c r="I60" s="3" t="s">
        <v>499</v>
      </c>
      <c r="J60" s="79" t="s">
        <v>494</v>
      </c>
      <c r="K60">
        <v>1</v>
      </c>
      <c r="L60">
        <v>1</v>
      </c>
      <c r="M60">
        <v>1</v>
      </c>
      <c r="N60">
        <v>1</v>
      </c>
      <c r="O60" t="s">
        <v>484</v>
      </c>
      <c r="P60" t="s">
        <v>484</v>
      </c>
      <c r="Q60" t="s">
        <v>484</v>
      </c>
      <c r="R60" t="s">
        <v>484</v>
      </c>
      <c r="S60" t="s">
        <v>484</v>
      </c>
      <c r="T60" t="s">
        <v>484</v>
      </c>
      <c r="U60" t="s">
        <v>484</v>
      </c>
      <c r="V60" t="s">
        <v>484</v>
      </c>
      <c r="W60" t="s">
        <v>484</v>
      </c>
      <c r="X60" t="s">
        <v>484</v>
      </c>
      <c r="Y60" t="s">
        <v>484</v>
      </c>
      <c r="Z60" t="s">
        <v>484</v>
      </c>
      <c r="AA60" t="s">
        <v>484</v>
      </c>
      <c r="AB60" t="s">
        <v>484</v>
      </c>
      <c r="AC60" t="s">
        <v>484</v>
      </c>
    </row>
    <row r="61" spans="1:29" hidden="1" x14ac:dyDescent="0.3">
      <c r="A61" s="38" t="s">
        <v>41</v>
      </c>
      <c r="B61" s="46" t="s">
        <v>447</v>
      </c>
      <c r="C61" s="43">
        <v>5</v>
      </c>
      <c r="D61" s="46" t="s">
        <v>466</v>
      </c>
      <c r="E61" s="46">
        <v>0</v>
      </c>
      <c r="F61" s="43">
        <f>IF(AND(OR($E61=0,$E61=1,$E61=2),$C61=5),65,IF(AND($E61=3,$C61=5),62,IF(AND($E61=4,$C61=5),55,IF(AND($E61=5,$C61=5),35,IF($E61=6,0,IF(AND(OR($E61=0,$E61=1,$E61=2),$C61=4),50,IF(AND($E61=3,$C61=4),48,IF(AND($E61=4,$C61=4),43,IF(AND($E61=5,$C61=4),28,0)))))))))</f>
        <v>65</v>
      </c>
      <c r="G61" s="43" t="s">
        <v>67</v>
      </c>
      <c r="H61" s="3" t="s">
        <v>513</v>
      </c>
      <c r="I61" s="79" t="s">
        <v>497</v>
      </c>
      <c r="J61" s="79" t="s">
        <v>491</v>
      </c>
      <c r="K61">
        <v>1</v>
      </c>
      <c r="L61">
        <v>1</v>
      </c>
      <c r="M61">
        <v>1</v>
      </c>
      <c r="N61">
        <v>1</v>
      </c>
      <c r="O61" t="s">
        <v>484</v>
      </c>
      <c r="P61" t="s">
        <v>484</v>
      </c>
      <c r="Q61" t="s">
        <v>484</v>
      </c>
      <c r="R61" t="s">
        <v>484</v>
      </c>
      <c r="S61" t="s">
        <v>484</v>
      </c>
      <c r="T61" t="s">
        <v>484</v>
      </c>
      <c r="U61" t="s">
        <v>484</v>
      </c>
      <c r="V61" t="s">
        <v>484</v>
      </c>
      <c r="W61" t="s">
        <v>484</v>
      </c>
      <c r="X61" t="s">
        <v>484</v>
      </c>
      <c r="Y61" t="s">
        <v>484</v>
      </c>
      <c r="Z61" t="s">
        <v>484</v>
      </c>
      <c r="AA61" t="s">
        <v>484</v>
      </c>
      <c r="AB61" t="s">
        <v>484</v>
      </c>
      <c r="AC61" t="s">
        <v>484</v>
      </c>
    </row>
    <row r="62" spans="1:29" hidden="1" x14ac:dyDescent="0.3">
      <c r="A62" s="38" t="s">
        <v>79</v>
      </c>
      <c r="B62" s="46" t="s">
        <v>442</v>
      </c>
      <c r="C62" s="43">
        <v>5</v>
      </c>
      <c r="D62" s="46" t="s">
        <v>468</v>
      </c>
      <c r="E62" s="46">
        <v>0</v>
      </c>
      <c r="F62" s="43">
        <f>IF(AND(OR($E62=0,$E62=1,$E62=2),$C62=5),65,IF(AND($E62=3,$C62=5),62,IF(AND($E62=4,$C62=5),55,IF(AND($E62=5,$C62=5),35,IF($E62=6,0,IF(AND(OR($E62=0,$E62=1,$E62=2),$C62=4),50,IF(AND($E62=3,$C62=4),48,IF(AND($E62=4,$C62=4),43,IF(AND($E62=5,$C62=4),28,0)))))))))</f>
        <v>65</v>
      </c>
      <c r="G62" s="43" t="s">
        <v>51</v>
      </c>
      <c r="H62" s="79" t="s">
        <v>520</v>
      </c>
      <c r="I62" s="3" t="s">
        <v>503</v>
      </c>
      <c r="J62" s="79" t="s">
        <v>493</v>
      </c>
      <c r="K62">
        <v>1</v>
      </c>
      <c r="L62">
        <v>1</v>
      </c>
      <c r="M62">
        <v>1</v>
      </c>
      <c r="N62">
        <v>1</v>
      </c>
      <c r="O62" t="s">
        <v>484</v>
      </c>
      <c r="P62" t="s">
        <v>484</v>
      </c>
      <c r="Q62" t="s">
        <v>484</v>
      </c>
      <c r="R62" t="s">
        <v>484</v>
      </c>
      <c r="S62" t="s">
        <v>484</v>
      </c>
      <c r="T62" t="s">
        <v>484</v>
      </c>
      <c r="U62" t="s">
        <v>484</v>
      </c>
      <c r="V62" t="s">
        <v>484</v>
      </c>
      <c r="W62" t="s">
        <v>484</v>
      </c>
      <c r="X62" t="s">
        <v>484</v>
      </c>
      <c r="Y62" t="s">
        <v>484</v>
      </c>
      <c r="Z62" t="s">
        <v>484</v>
      </c>
      <c r="AA62" t="s">
        <v>484</v>
      </c>
      <c r="AB62" t="s">
        <v>484</v>
      </c>
      <c r="AC62" t="s">
        <v>484</v>
      </c>
    </row>
    <row r="63" spans="1:29" hidden="1" x14ac:dyDescent="0.3">
      <c r="A63" s="38" t="s">
        <v>30</v>
      </c>
      <c r="B63" s="46" t="s">
        <v>442</v>
      </c>
      <c r="C63" s="43">
        <v>5</v>
      </c>
      <c r="D63" s="46" t="s">
        <v>465</v>
      </c>
      <c r="E63" s="46">
        <v>0</v>
      </c>
      <c r="F63" s="43">
        <f>IF(AND(OR($E63=0,$E63=1,$E63=2),$C63=5),65,IF(AND($E63=3,$C63=5),62,IF(AND($E63=4,$C63=5),55,IF(AND($E63=5,$C63=5),35,IF($E63=6,0,IF(AND(OR($E63=0,$E63=1,$E63=2),$C63=4),50,IF(AND($E63=3,$C63=4),48,IF(AND($E63=4,$C63=4),43,IF(AND($E63=5,$C63=4),28,0)))))))))</f>
        <v>65</v>
      </c>
      <c r="G63" s="43" t="s">
        <v>57</v>
      </c>
      <c r="H63" s="3" t="s">
        <v>514</v>
      </c>
      <c r="I63" s="79" t="s">
        <v>504</v>
      </c>
      <c r="J63" s="3" t="s">
        <v>495</v>
      </c>
      <c r="K63">
        <v>1</v>
      </c>
      <c r="L63">
        <v>1</v>
      </c>
      <c r="M63">
        <v>1</v>
      </c>
      <c r="N63">
        <v>1</v>
      </c>
      <c r="O63" t="s">
        <v>484</v>
      </c>
      <c r="P63" t="s">
        <v>484</v>
      </c>
      <c r="Q63" t="s">
        <v>484</v>
      </c>
      <c r="R63" t="s">
        <v>484</v>
      </c>
      <c r="S63" t="s">
        <v>484</v>
      </c>
      <c r="T63" t="s">
        <v>484</v>
      </c>
      <c r="U63" t="s">
        <v>484</v>
      </c>
      <c r="V63" t="s">
        <v>484</v>
      </c>
      <c r="W63" t="s">
        <v>484</v>
      </c>
      <c r="X63" t="s">
        <v>484</v>
      </c>
      <c r="Y63" t="s">
        <v>484</v>
      </c>
      <c r="Z63" t="s">
        <v>484</v>
      </c>
      <c r="AA63" t="s">
        <v>484</v>
      </c>
      <c r="AB63" t="s">
        <v>484</v>
      </c>
      <c r="AC63" t="s">
        <v>484</v>
      </c>
    </row>
    <row r="64" spans="1:29" hidden="1" x14ac:dyDescent="0.3">
      <c r="A64" s="38" t="s">
        <v>80</v>
      </c>
      <c r="B64" s="46" t="s">
        <v>445</v>
      </c>
      <c r="C64" s="43">
        <v>5</v>
      </c>
      <c r="D64" s="46" t="s">
        <v>465</v>
      </c>
      <c r="E64" s="46">
        <v>0</v>
      </c>
      <c r="F64" s="43">
        <f>IF(AND(OR($E64=0,$E64=1,$E64=2),$C64=5),65,IF(AND($E64=3,$C64=5),62,IF(AND($E64=4,$C64=5),55,IF(AND($E64=5,$C64=5),35,IF($E64=6,0,IF(AND(OR($E64=0,$E64=1,$E64=2),$C64=4),50,IF(AND($E64=3,$C64=4),48,IF(AND($E64=4,$C64=4),43,IF(AND($E64=5,$C64=4),28,0)))))))))</f>
        <v>65</v>
      </c>
      <c r="G64" s="43" t="s">
        <v>81</v>
      </c>
      <c r="H64" s="3" t="s">
        <v>517</v>
      </c>
      <c r="I64" s="79" t="s">
        <v>502</v>
      </c>
      <c r="J64" s="79" t="s">
        <v>492</v>
      </c>
      <c r="K64">
        <v>1</v>
      </c>
      <c r="L64">
        <v>1</v>
      </c>
      <c r="M64">
        <v>1</v>
      </c>
      <c r="N64">
        <v>1</v>
      </c>
      <c r="O64" t="s">
        <v>484</v>
      </c>
      <c r="P64" t="s">
        <v>484</v>
      </c>
      <c r="Q64" t="s">
        <v>484</v>
      </c>
      <c r="R64" t="s">
        <v>484</v>
      </c>
      <c r="S64" t="s">
        <v>484</v>
      </c>
      <c r="T64" t="s">
        <v>484</v>
      </c>
      <c r="U64" t="s">
        <v>484</v>
      </c>
      <c r="V64" t="s">
        <v>484</v>
      </c>
      <c r="W64" t="s">
        <v>484</v>
      </c>
      <c r="X64" t="s">
        <v>484</v>
      </c>
      <c r="Y64" t="s">
        <v>484</v>
      </c>
      <c r="Z64" t="s">
        <v>484</v>
      </c>
      <c r="AA64" t="s">
        <v>484</v>
      </c>
      <c r="AB64" t="s">
        <v>484</v>
      </c>
      <c r="AC64" t="s">
        <v>484</v>
      </c>
    </row>
    <row r="65" spans="1:29" hidden="1" x14ac:dyDescent="0.3">
      <c r="A65" s="39" t="s">
        <v>459</v>
      </c>
      <c r="B65" s="46" t="s">
        <v>446</v>
      </c>
      <c r="C65" s="43">
        <v>5</v>
      </c>
      <c r="D65" s="46" t="s">
        <v>466</v>
      </c>
      <c r="E65" s="46">
        <v>0</v>
      </c>
      <c r="F65" s="43">
        <f>IF(AND(OR($E65=0,$E65=1,$E65=2),$C65=5),65,IF(AND($E65=3,$C65=5),62,IF(AND($E65=4,$C65=5),55,IF(AND($E65=5,$C65=5),35,IF($E65=6,0,IF(AND(OR($E65=0,$E65=1,$E65=2),$C65=4),50,IF(AND($E65=3,$C65=4),48,IF(AND($E65=4,$C65=4),43,IF(AND($E65=5,$C65=4),28,0)))))))))</f>
        <v>65</v>
      </c>
      <c r="G65" s="43" t="s">
        <v>78</v>
      </c>
      <c r="H65" s="79" t="s">
        <v>518</v>
      </c>
      <c r="I65" s="3" t="s">
        <v>507</v>
      </c>
      <c r="J65" s="3" t="s">
        <v>489</v>
      </c>
      <c r="K65">
        <v>1</v>
      </c>
      <c r="L65">
        <v>1</v>
      </c>
      <c r="M65">
        <v>1</v>
      </c>
      <c r="N65">
        <v>1</v>
      </c>
      <c r="O65" t="s">
        <v>484</v>
      </c>
      <c r="P65" t="s">
        <v>484</v>
      </c>
      <c r="Q65" t="s">
        <v>484</v>
      </c>
      <c r="R65" t="s">
        <v>484</v>
      </c>
      <c r="S65" t="s">
        <v>484</v>
      </c>
      <c r="T65" t="s">
        <v>484</v>
      </c>
      <c r="U65" t="s">
        <v>484</v>
      </c>
      <c r="V65" t="s">
        <v>484</v>
      </c>
      <c r="W65" t="s">
        <v>484</v>
      </c>
      <c r="X65" t="s">
        <v>484</v>
      </c>
      <c r="Y65" t="s">
        <v>484</v>
      </c>
      <c r="Z65" t="s">
        <v>484</v>
      </c>
      <c r="AA65" t="s">
        <v>484</v>
      </c>
      <c r="AB65" t="s">
        <v>484</v>
      </c>
      <c r="AC65" t="s">
        <v>484</v>
      </c>
    </row>
    <row r="66" spans="1:29" hidden="1" x14ac:dyDescent="0.3">
      <c r="A66" s="38" t="s">
        <v>36</v>
      </c>
      <c r="B66" s="46" t="s">
        <v>444</v>
      </c>
      <c r="C66" s="43">
        <v>5</v>
      </c>
      <c r="D66" s="46" t="s">
        <v>468</v>
      </c>
      <c r="E66" s="46">
        <v>0</v>
      </c>
      <c r="F66" s="43">
        <f>IF(AND(OR($E66=0,$E66=1,$E66=2),$C66=5),65,IF(AND($E66=3,$C66=5),62,IF(AND($E66=4,$C66=5),55,IF(AND($E66=5,$C66=5),35,IF($E66=6,0,IF(AND(OR($E66=0,$E66=1,$E66=2),$C66=4),50,IF(AND($E66=3,$C66=4),48,IF(AND($E66=4,$C66=4),43,IF(AND($E66=5,$C66=4),28,0)))))))))</f>
        <v>65</v>
      </c>
      <c r="G66" s="43" t="s">
        <v>66</v>
      </c>
      <c r="H66" s="3" t="s">
        <v>512</v>
      </c>
      <c r="I66" s="79" t="s">
        <v>509</v>
      </c>
      <c r="J66" s="79" t="s">
        <v>490</v>
      </c>
      <c r="K66">
        <v>1</v>
      </c>
      <c r="L66">
        <v>1</v>
      </c>
      <c r="M66">
        <v>1</v>
      </c>
      <c r="N66">
        <v>1</v>
      </c>
      <c r="O66" t="s">
        <v>484</v>
      </c>
      <c r="P66" t="s">
        <v>484</v>
      </c>
      <c r="Q66" t="s">
        <v>484</v>
      </c>
      <c r="R66" t="s">
        <v>484</v>
      </c>
      <c r="S66" t="s">
        <v>484</v>
      </c>
      <c r="T66" t="s">
        <v>484</v>
      </c>
      <c r="U66" t="s">
        <v>484</v>
      </c>
      <c r="V66" t="s">
        <v>484</v>
      </c>
      <c r="W66" t="s">
        <v>484</v>
      </c>
      <c r="X66" t="s">
        <v>484</v>
      </c>
      <c r="Y66" t="s">
        <v>484</v>
      </c>
      <c r="Z66" t="s">
        <v>484</v>
      </c>
      <c r="AA66" t="s">
        <v>484</v>
      </c>
      <c r="AB66" t="s">
        <v>484</v>
      </c>
      <c r="AC66" t="s">
        <v>484</v>
      </c>
    </row>
    <row r="67" spans="1:29" hidden="1" x14ac:dyDescent="0.3">
      <c r="A67" s="38" t="s">
        <v>452</v>
      </c>
      <c r="B67" s="46" t="s">
        <v>443</v>
      </c>
      <c r="C67" s="43">
        <v>5</v>
      </c>
      <c r="D67" s="46" t="s">
        <v>470</v>
      </c>
      <c r="E67" s="46">
        <v>0</v>
      </c>
      <c r="F67" s="43">
        <f>IF(AND(OR($E67=0,$E67=1,$E67=2),$C67=5),65,IF(AND($E67=3,$C67=5),62,IF(AND($E67=4,$C67=5),55,IF(AND($E67=5,$C67=5),35,IF($E67=6,0,IF(AND(OR($E67=0,$E67=1,$E67=2),$C67=4),50,IF(AND($E67=3,$C67=4),48,IF(AND($E67=4,$C67=4),43,IF(AND($E67=5,$C67=4),28,0)))))))))</f>
        <v>65</v>
      </c>
      <c r="G67" s="43" t="s">
        <v>463</v>
      </c>
      <c r="H67" s="3" t="s">
        <v>515</v>
      </c>
      <c r="I67" s="79" t="s">
        <v>499</v>
      </c>
      <c r="J67" s="79" t="s">
        <v>492</v>
      </c>
      <c r="K67">
        <v>1</v>
      </c>
      <c r="L67">
        <v>1</v>
      </c>
      <c r="M67">
        <v>1</v>
      </c>
      <c r="N67">
        <v>1</v>
      </c>
      <c r="O67" t="s">
        <v>484</v>
      </c>
      <c r="P67" t="s">
        <v>484</v>
      </c>
      <c r="Q67" t="s">
        <v>484</v>
      </c>
      <c r="R67" t="s">
        <v>484</v>
      </c>
      <c r="S67" t="s">
        <v>484</v>
      </c>
      <c r="T67" t="s">
        <v>484</v>
      </c>
      <c r="U67" t="s">
        <v>484</v>
      </c>
      <c r="V67" t="s">
        <v>484</v>
      </c>
      <c r="W67" t="s">
        <v>484</v>
      </c>
      <c r="X67" t="s">
        <v>484</v>
      </c>
      <c r="Y67" t="s">
        <v>484</v>
      </c>
      <c r="Z67" t="s">
        <v>484</v>
      </c>
      <c r="AA67" t="s">
        <v>484</v>
      </c>
      <c r="AB67" t="s">
        <v>484</v>
      </c>
      <c r="AC67" t="s">
        <v>484</v>
      </c>
    </row>
    <row r="68" spans="1:29" hidden="1" x14ac:dyDescent="0.3">
      <c r="A68" s="38" t="s">
        <v>76</v>
      </c>
      <c r="B68" s="46" t="s">
        <v>444</v>
      </c>
      <c r="C68" s="43">
        <v>5</v>
      </c>
      <c r="D68" s="46" t="s">
        <v>466</v>
      </c>
      <c r="E68" s="46">
        <v>0</v>
      </c>
      <c r="F68" s="43">
        <f>IF(AND(OR($E68=0,$E68=1,$E68=2),$C68=5),65,IF(AND($E68=3,$C68=5),62,IF(AND($E68=4,$C68=5),55,IF(AND($E68=5,$C68=5),35,IF($E68=6,0,IF(AND(OR($E68=0,$E68=1,$E68=2),$C68=4),50,IF(AND($E68=3,$C68=4),48,IF(AND($E68=4,$C68=4),43,IF(AND($E68=5,$C68=4),28,0)))))))))</f>
        <v>65</v>
      </c>
      <c r="G68" s="43" t="s">
        <v>78</v>
      </c>
      <c r="H68" s="3" t="s">
        <v>514</v>
      </c>
      <c r="I68" s="79" t="s">
        <v>510</v>
      </c>
      <c r="J68" s="79" t="s">
        <v>490</v>
      </c>
      <c r="K68">
        <v>1</v>
      </c>
      <c r="L68">
        <v>1</v>
      </c>
      <c r="M68">
        <v>1</v>
      </c>
      <c r="N68">
        <v>1</v>
      </c>
      <c r="O68" t="s">
        <v>484</v>
      </c>
      <c r="P68" t="s">
        <v>484</v>
      </c>
      <c r="Q68" t="s">
        <v>484</v>
      </c>
      <c r="R68" t="s">
        <v>484</v>
      </c>
      <c r="S68" t="s">
        <v>484</v>
      </c>
      <c r="T68" t="s">
        <v>484</v>
      </c>
      <c r="U68" t="s">
        <v>484</v>
      </c>
      <c r="V68" t="s">
        <v>484</v>
      </c>
      <c r="W68" t="s">
        <v>484</v>
      </c>
      <c r="X68" t="s">
        <v>484</v>
      </c>
      <c r="Y68" t="s">
        <v>484</v>
      </c>
      <c r="Z68" t="s">
        <v>484</v>
      </c>
      <c r="AA68" t="s">
        <v>484</v>
      </c>
      <c r="AB68" t="s">
        <v>484</v>
      </c>
      <c r="AC68" t="s">
        <v>484</v>
      </c>
    </row>
    <row r="69" spans="1:29" hidden="1" x14ac:dyDescent="0.3">
      <c r="A69" s="38" t="s">
        <v>34</v>
      </c>
      <c r="B69" s="46" t="s">
        <v>441</v>
      </c>
      <c r="C69" s="43">
        <v>5</v>
      </c>
      <c r="D69" s="46" t="s">
        <v>470</v>
      </c>
      <c r="E69" s="46">
        <v>0</v>
      </c>
      <c r="F69" s="43">
        <f>IF(AND(OR($E69=0,$E69=1,$E69=2),$C69=5),65,IF(AND($E69=3,$C69=5),62,IF(AND($E69=4,$C69=5),55,IF(AND($E69=5,$C69=5),35,IF($E69=6,0,IF(AND(OR($E69=0,$E69=1,$E69=2),$C69=4),50,IF(AND($E69=3,$C69=4),48,IF(AND($E69=4,$C69=4),43,IF(AND($E69=5,$C69=4),28,0)))))))))</f>
        <v>65</v>
      </c>
      <c r="G69" s="43" t="s">
        <v>64</v>
      </c>
      <c r="H69" s="79" t="s">
        <v>514</v>
      </c>
      <c r="I69" s="79" t="s">
        <v>506</v>
      </c>
      <c r="J69" s="79" t="s">
        <v>490</v>
      </c>
      <c r="K69">
        <v>1</v>
      </c>
      <c r="L69">
        <v>1</v>
      </c>
      <c r="M69">
        <v>1</v>
      </c>
      <c r="N69">
        <v>1</v>
      </c>
      <c r="O69" t="s">
        <v>484</v>
      </c>
      <c r="P69" t="s">
        <v>484</v>
      </c>
      <c r="Q69" t="s">
        <v>484</v>
      </c>
      <c r="R69" t="s">
        <v>484</v>
      </c>
      <c r="S69" t="s">
        <v>484</v>
      </c>
      <c r="T69" t="s">
        <v>484</v>
      </c>
      <c r="U69" t="s">
        <v>484</v>
      </c>
      <c r="V69" t="s">
        <v>484</v>
      </c>
      <c r="W69" t="s">
        <v>484</v>
      </c>
      <c r="X69" t="s">
        <v>484</v>
      </c>
      <c r="Y69" t="s">
        <v>484</v>
      </c>
      <c r="Z69" t="s">
        <v>484</v>
      </c>
      <c r="AA69" t="s">
        <v>484</v>
      </c>
      <c r="AB69" t="s">
        <v>484</v>
      </c>
      <c r="AC69" t="s">
        <v>484</v>
      </c>
    </row>
    <row r="70" spans="1:29" hidden="1" x14ac:dyDescent="0.3">
      <c r="A70" s="38" t="s">
        <v>178</v>
      </c>
      <c r="B70" s="46" t="s">
        <v>447</v>
      </c>
      <c r="C70" s="43">
        <v>5</v>
      </c>
      <c r="D70" s="46" t="s">
        <v>468</v>
      </c>
      <c r="E70" s="46">
        <v>0</v>
      </c>
      <c r="F70" s="43">
        <f>IF(AND(OR($E70=0,$E70=1,$E70=2),$C70=5),65,IF(AND($E70=3,$C70=5),62,IF(AND($E70=4,$C70=5),55,IF(AND($E70=5,$C70=5),35,IF($E70=6,0,IF(AND(OR($E70=0,$E70=1,$E70=2),$C70=4),50,IF(AND($E70=3,$C70=4),48,IF(AND($E70=4,$C70=4),43,IF(AND($E70=5,$C70=4),28,0)))))))))</f>
        <v>65</v>
      </c>
      <c r="G70" s="43" t="s">
        <v>66</v>
      </c>
      <c r="H70" s="79" t="s">
        <v>520</v>
      </c>
      <c r="I70" s="79" t="s">
        <v>497</v>
      </c>
      <c r="J70" s="79" t="s">
        <v>490</v>
      </c>
      <c r="K70">
        <v>1</v>
      </c>
      <c r="L70">
        <v>1</v>
      </c>
      <c r="M70">
        <v>1</v>
      </c>
      <c r="N70">
        <v>1</v>
      </c>
      <c r="O70" t="s">
        <v>484</v>
      </c>
      <c r="P70" t="s">
        <v>484</v>
      </c>
      <c r="Q70" t="s">
        <v>484</v>
      </c>
      <c r="R70" t="s">
        <v>484</v>
      </c>
      <c r="S70" t="s">
        <v>484</v>
      </c>
      <c r="T70" t="s">
        <v>484</v>
      </c>
      <c r="U70" t="s">
        <v>484</v>
      </c>
      <c r="V70" t="s">
        <v>484</v>
      </c>
      <c r="W70" t="s">
        <v>484</v>
      </c>
      <c r="X70" t="s">
        <v>484</v>
      </c>
      <c r="Y70" t="s">
        <v>484</v>
      </c>
      <c r="Z70" t="s">
        <v>484</v>
      </c>
      <c r="AA70" t="s">
        <v>484</v>
      </c>
      <c r="AB70" t="s">
        <v>484</v>
      </c>
      <c r="AC70" t="s">
        <v>484</v>
      </c>
    </row>
    <row r="71" spans="1:29" hidden="1" x14ac:dyDescent="0.3">
      <c r="A71" s="38" t="s">
        <v>37</v>
      </c>
      <c r="B71" s="46" t="s">
        <v>442</v>
      </c>
      <c r="C71" s="43">
        <v>5</v>
      </c>
      <c r="D71" s="46" t="s">
        <v>466</v>
      </c>
      <c r="E71" s="46">
        <v>0</v>
      </c>
      <c r="F71" s="43">
        <f>IF(AND(OR($E71=0,$E71=1,$E71=2),$C71=5),65,IF(AND($E71=3,$C71=5),62,IF(AND($E71=4,$C71=5),55,IF(AND($E71=5,$C71=5),35,IF($E71=6,0,IF(AND(OR($E71=0,$E71=1,$E71=2),$C71=4),50,IF(AND($E71=3,$C71=4),48,IF(AND($E71=4,$C71=4),43,IF(AND($E71=5,$C71=4),28,0)))))))))</f>
        <v>65</v>
      </c>
      <c r="G71" s="43" t="s">
        <v>67</v>
      </c>
      <c r="H71" s="79" t="s">
        <v>520</v>
      </c>
      <c r="I71" s="79" t="s">
        <v>504</v>
      </c>
      <c r="J71" s="79" t="s">
        <v>490</v>
      </c>
      <c r="K71">
        <v>1</v>
      </c>
      <c r="L71">
        <v>1</v>
      </c>
      <c r="M71">
        <v>1</v>
      </c>
      <c r="N71">
        <v>1</v>
      </c>
      <c r="O71" t="s">
        <v>484</v>
      </c>
      <c r="P71" t="s">
        <v>484</v>
      </c>
      <c r="Q71" t="s">
        <v>484</v>
      </c>
      <c r="R71" t="s">
        <v>484</v>
      </c>
      <c r="S71" t="s">
        <v>484</v>
      </c>
      <c r="T71" t="s">
        <v>484</v>
      </c>
      <c r="U71" t="s">
        <v>484</v>
      </c>
      <c r="V71" t="s">
        <v>484</v>
      </c>
      <c r="W71" t="s">
        <v>484</v>
      </c>
      <c r="X71" t="s">
        <v>484</v>
      </c>
      <c r="Y71" t="s">
        <v>484</v>
      </c>
      <c r="Z71" t="s">
        <v>484</v>
      </c>
      <c r="AA71" t="s">
        <v>484</v>
      </c>
      <c r="AB71" t="s">
        <v>484</v>
      </c>
      <c r="AC71" t="s">
        <v>484</v>
      </c>
    </row>
    <row r="72" spans="1:29" hidden="1" x14ac:dyDescent="0.3">
      <c r="A72" s="38" t="s">
        <v>28</v>
      </c>
      <c r="B72" s="46" t="s">
        <v>445</v>
      </c>
      <c r="C72" s="43">
        <v>5</v>
      </c>
      <c r="D72" s="46" t="s">
        <v>196</v>
      </c>
      <c r="E72" s="46">
        <v>0</v>
      </c>
      <c r="F72" s="43">
        <f>IF(AND(OR($E72=0,$E72=1,$E72=2),$C72=5),65,IF(AND($E72=3,$C72=5),62,IF(AND($E72=4,$C72=5),55,IF(AND($E72=5,$C72=5),35,IF($E72=6,0,IF(AND(OR($E72=0,$E72=1,$E72=2),$C72=4),50,IF(AND($E72=3,$C72=4),48,IF(AND($E72=4,$C72=4),43,IF(AND($E72=5,$C72=4),28,0)))))))))</f>
        <v>65</v>
      </c>
      <c r="G72" s="43" t="s">
        <v>69</v>
      </c>
      <c r="H72" s="79" t="s">
        <v>520</v>
      </c>
      <c r="I72" s="79" t="s">
        <v>501</v>
      </c>
      <c r="J72" s="3" t="s">
        <v>489</v>
      </c>
      <c r="K72">
        <v>1</v>
      </c>
      <c r="L72">
        <v>1</v>
      </c>
      <c r="M72">
        <v>1</v>
      </c>
      <c r="N72">
        <v>1</v>
      </c>
      <c r="O72" t="s">
        <v>484</v>
      </c>
      <c r="P72" t="s">
        <v>484</v>
      </c>
      <c r="Q72" t="s">
        <v>484</v>
      </c>
      <c r="R72" t="s">
        <v>484</v>
      </c>
      <c r="S72" t="s">
        <v>484</v>
      </c>
      <c r="T72" t="s">
        <v>484</v>
      </c>
      <c r="U72" t="s">
        <v>484</v>
      </c>
      <c r="V72" t="s">
        <v>484</v>
      </c>
      <c r="W72" t="s">
        <v>484</v>
      </c>
      <c r="X72" t="s">
        <v>484</v>
      </c>
      <c r="Y72" t="s">
        <v>484</v>
      </c>
      <c r="Z72" t="s">
        <v>484</v>
      </c>
      <c r="AA72" t="s">
        <v>484</v>
      </c>
      <c r="AB72" t="s">
        <v>484</v>
      </c>
      <c r="AC72" t="s">
        <v>484</v>
      </c>
    </row>
    <row r="73" spans="1:29" hidden="1" x14ac:dyDescent="0.3">
      <c r="A73" s="38" t="s">
        <v>35</v>
      </c>
      <c r="B73" s="46" t="s">
        <v>446</v>
      </c>
      <c r="C73" s="43">
        <v>5</v>
      </c>
      <c r="D73" s="46" t="s">
        <v>469</v>
      </c>
      <c r="E73" s="46">
        <v>0</v>
      </c>
      <c r="F73" s="43">
        <f>IF(AND(OR($E73=0,$E73=1,$E73=2),$C73=5),65,IF(AND($E73=3,$C73=5),62,IF(AND($E73=4,$C73=5),55,IF(AND($E73=5,$C73=5),35,IF($E73=6,0,IF(AND(OR($E73=0,$E73=1,$E73=2),$C73=4),50,IF(AND($E73=3,$C73=4),48,IF(AND($E73=4,$C73=4),43,IF(AND($E73=5,$C73=4),28,0)))))))))</f>
        <v>65</v>
      </c>
      <c r="G73" s="43" t="s">
        <v>65</v>
      </c>
      <c r="H73" s="3" t="s">
        <v>520</v>
      </c>
      <c r="I73" s="79" t="s">
        <v>508</v>
      </c>
      <c r="J73" s="79" t="s">
        <v>490</v>
      </c>
      <c r="K73">
        <v>1</v>
      </c>
      <c r="L73">
        <v>1</v>
      </c>
      <c r="M73">
        <v>1</v>
      </c>
      <c r="N73">
        <v>1</v>
      </c>
      <c r="O73" t="s">
        <v>484</v>
      </c>
      <c r="P73" t="s">
        <v>484</v>
      </c>
      <c r="Q73" t="s">
        <v>484</v>
      </c>
      <c r="R73" t="s">
        <v>484</v>
      </c>
      <c r="S73" t="s">
        <v>484</v>
      </c>
      <c r="T73" t="s">
        <v>484</v>
      </c>
      <c r="U73" t="s">
        <v>484</v>
      </c>
      <c r="V73" t="s">
        <v>484</v>
      </c>
      <c r="W73" t="s">
        <v>484</v>
      </c>
      <c r="X73" t="s">
        <v>484</v>
      </c>
      <c r="Y73" t="s">
        <v>484</v>
      </c>
      <c r="Z73" t="s">
        <v>484</v>
      </c>
      <c r="AA73" t="s">
        <v>484</v>
      </c>
      <c r="AB73" t="s">
        <v>484</v>
      </c>
      <c r="AC73" t="s">
        <v>484</v>
      </c>
    </row>
    <row r="74" spans="1:29" hidden="1" x14ac:dyDescent="0.3">
      <c r="A74" s="77" t="s">
        <v>50</v>
      </c>
      <c r="B74" s="46" t="s">
        <v>447</v>
      </c>
      <c r="C74" s="43">
        <v>5</v>
      </c>
      <c r="D74" s="46" t="s">
        <v>468</v>
      </c>
      <c r="E74" s="46">
        <v>0</v>
      </c>
      <c r="F74" s="43">
        <f>IF(AND(OR($E74=0,$E74=1,$E74=2),$C74=5),65,IF(AND($E74=3,$C74=5),62,IF(AND($E74=4,$C74=5),55,IF(AND($E74=5,$C74=5),35,IF($E74=6,0,IF(AND(OR($E74=0,$E74=1,$E74=2),$C74=4),50,IF(AND($E74=3,$C74=4),48,IF(AND($E74=4,$C74=4),43,IF(AND($E74=5,$C74=4),28,0)))))))))</f>
        <v>65</v>
      </c>
      <c r="G74" s="43" t="s">
        <v>51</v>
      </c>
      <c r="H74" s="79" t="s">
        <v>520</v>
      </c>
      <c r="I74" s="79" t="s">
        <v>497</v>
      </c>
      <c r="J74" s="79" t="s">
        <v>490</v>
      </c>
      <c r="K74">
        <v>1</v>
      </c>
      <c r="L74">
        <v>1</v>
      </c>
      <c r="M74">
        <v>1</v>
      </c>
      <c r="N74">
        <v>1</v>
      </c>
      <c r="O74" t="s">
        <v>484</v>
      </c>
      <c r="P74" t="s">
        <v>484</v>
      </c>
      <c r="Q74" t="s">
        <v>484</v>
      </c>
      <c r="R74" t="s">
        <v>484</v>
      </c>
      <c r="S74" t="s">
        <v>484</v>
      </c>
      <c r="T74" t="s">
        <v>484</v>
      </c>
      <c r="U74" t="s">
        <v>484</v>
      </c>
      <c r="V74" t="s">
        <v>484</v>
      </c>
      <c r="W74" t="s">
        <v>484</v>
      </c>
      <c r="X74" t="s">
        <v>484</v>
      </c>
      <c r="Y74" t="s">
        <v>484</v>
      </c>
      <c r="Z74" t="s">
        <v>484</v>
      </c>
      <c r="AA74" t="s">
        <v>484</v>
      </c>
      <c r="AB74" t="s">
        <v>484</v>
      </c>
      <c r="AC74" t="s">
        <v>484</v>
      </c>
    </row>
    <row r="75" spans="1:29" hidden="1" x14ac:dyDescent="0.3">
      <c r="A75" s="77" t="s">
        <v>453</v>
      </c>
      <c r="B75" s="46" t="s">
        <v>447</v>
      </c>
      <c r="C75" s="43">
        <v>5</v>
      </c>
      <c r="D75" s="46" t="s">
        <v>470</v>
      </c>
      <c r="E75" s="46">
        <v>0</v>
      </c>
      <c r="F75" s="43">
        <f>IF(AND(OR($E75=0,$E75=1,$E75=2),$C75=5),65,IF(AND($E75=3,$C75=5),62,IF(AND($E75=4,$C75=5),55,IF(AND($E75=5,$C75=5),35,IF($E75=6,0,IF(AND(OR($E75=0,$E75=1,$E75=2),$C75=4),50,IF(AND($E75=3,$C75=4),48,IF(AND($E75=4,$C75=4),43,IF(AND($E75=5,$C75=4),28,0)))))))))</f>
        <v>65</v>
      </c>
      <c r="G75" s="43" t="s">
        <v>463</v>
      </c>
      <c r="H75" s="3" t="s">
        <v>516</v>
      </c>
      <c r="I75" s="79" t="s">
        <v>497</v>
      </c>
      <c r="J75" s="3" t="s">
        <v>494</v>
      </c>
      <c r="K75">
        <v>1</v>
      </c>
      <c r="L75">
        <v>1</v>
      </c>
      <c r="M75">
        <v>1</v>
      </c>
      <c r="N75">
        <v>1</v>
      </c>
      <c r="O75" t="s">
        <v>484</v>
      </c>
      <c r="P75" t="s">
        <v>484</v>
      </c>
      <c r="Q75" t="s">
        <v>484</v>
      </c>
      <c r="R75" t="s">
        <v>484</v>
      </c>
      <c r="S75" t="s">
        <v>484</v>
      </c>
      <c r="T75" t="s">
        <v>484</v>
      </c>
      <c r="U75" t="s">
        <v>484</v>
      </c>
      <c r="V75" t="s">
        <v>484</v>
      </c>
      <c r="W75" t="s">
        <v>484</v>
      </c>
      <c r="X75" t="s">
        <v>484</v>
      </c>
      <c r="Y75" t="s">
        <v>484</v>
      </c>
      <c r="Z75" t="s">
        <v>484</v>
      </c>
      <c r="AA75" t="s">
        <v>484</v>
      </c>
      <c r="AB75" t="s">
        <v>484</v>
      </c>
      <c r="AC75" t="s">
        <v>484</v>
      </c>
    </row>
    <row r="76" spans="1:29" hidden="1" x14ac:dyDescent="0.3">
      <c r="A76" s="77" t="s">
        <v>49</v>
      </c>
      <c r="B76" s="46" t="s">
        <v>446</v>
      </c>
      <c r="C76" s="43">
        <v>5</v>
      </c>
      <c r="D76" s="46" t="s">
        <v>467</v>
      </c>
      <c r="E76" s="46">
        <v>0</v>
      </c>
      <c r="F76" s="43">
        <f>IF(AND(OR($E76=0,$E76=1,$E76=2),$C76=5),65,IF(AND($E76=3,$C76=5),62,IF(AND($E76=4,$C76=5),55,IF(AND($E76=5,$C76=5),35,IF($E76=6,0,IF(AND(OR($E76=0,$E76=1,$E76=2),$C76=4),50,IF(AND($E76=3,$C76=4),48,IF(AND($E76=4,$C76=4),43,IF(AND($E76=5,$C76=4),28,0)))))))))</f>
        <v>65</v>
      </c>
      <c r="G76" s="43" t="s">
        <v>60</v>
      </c>
      <c r="H76" s="79" t="s">
        <v>514</v>
      </c>
      <c r="I76" s="3" t="s">
        <v>507</v>
      </c>
      <c r="J76" s="79" t="s">
        <v>490</v>
      </c>
      <c r="K76">
        <v>1</v>
      </c>
      <c r="L76">
        <v>1</v>
      </c>
      <c r="M76">
        <v>1</v>
      </c>
      <c r="N76">
        <v>1</v>
      </c>
      <c r="O76" t="s">
        <v>484</v>
      </c>
      <c r="P76" t="s">
        <v>484</v>
      </c>
      <c r="Q76" t="s">
        <v>484</v>
      </c>
      <c r="R76" t="s">
        <v>484</v>
      </c>
      <c r="S76" t="s">
        <v>484</v>
      </c>
      <c r="T76" t="s">
        <v>484</v>
      </c>
      <c r="U76" t="s">
        <v>484</v>
      </c>
      <c r="V76" t="s">
        <v>484</v>
      </c>
      <c r="W76" t="s">
        <v>484</v>
      </c>
      <c r="X76" t="s">
        <v>484</v>
      </c>
      <c r="Y76" t="s">
        <v>484</v>
      </c>
      <c r="Z76" t="s">
        <v>484</v>
      </c>
      <c r="AA76" t="s">
        <v>484</v>
      </c>
      <c r="AB76" t="s">
        <v>484</v>
      </c>
      <c r="AC76" t="s">
        <v>484</v>
      </c>
    </row>
    <row r="77" spans="1:29" hidden="1" x14ac:dyDescent="0.3">
      <c r="A77" s="77" t="s">
        <v>48</v>
      </c>
      <c r="B77" s="46" t="s">
        <v>445</v>
      </c>
      <c r="C77" s="43">
        <v>5</v>
      </c>
      <c r="D77" s="46" t="s">
        <v>470</v>
      </c>
      <c r="E77" s="46">
        <v>0</v>
      </c>
      <c r="F77" s="43">
        <f>IF(AND(OR($E77=0,$E77=1,$E77=2),$C77=5),65,IF(AND($E77=3,$C77=5),62,IF(AND($E77=4,$C77=5),55,IF(AND($E77=5,$C77=5),35,IF($E77=6,0,IF(AND(OR($E77=0,$E77=1,$E77=2),$C77=4),50,IF(AND($E77=3,$C77=4),48,IF(AND($E77=4,$C77=4),43,IF(AND($E77=5,$C77=4),28,0)))))))))</f>
        <v>65</v>
      </c>
      <c r="G77" s="43" t="s">
        <v>68</v>
      </c>
      <c r="H77" s="79" t="s">
        <v>517</v>
      </c>
      <c r="I77" s="79" t="s">
        <v>502</v>
      </c>
      <c r="J77" s="79" t="s">
        <v>492</v>
      </c>
      <c r="K77">
        <v>1</v>
      </c>
      <c r="L77">
        <v>1</v>
      </c>
      <c r="M77">
        <v>1</v>
      </c>
      <c r="N77">
        <v>1</v>
      </c>
      <c r="O77" t="s">
        <v>484</v>
      </c>
      <c r="P77" t="s">
        <v>484</v>
      </c>
      <c r="Q77" t="s">
        <v>484</v>
      </c>
      <c r="R77" t="s">
        <v>484</v>
      </c>
      <c r="S77" t="s">
        <v>484</v>
      </c>
      <c r="T77" t="s">
        <v>484</v>
      </c>
      <c r="U77" t="s">
        <v>484</v>
      </c>
      <c r="V77" t="s">
        <v>484</v>
      </c>
      <c r="W77" t="s">
        <v>484</v>
      </c>
      <c r="X77" t="s">
        <v>484</v>
      </c>
      <c r="Y77" t="s">
        <v>484</v>
      </c>
      <c r="Z77" t="s">
        <v>484</v>
      </c>
      <c r="AA77" t="s">
        <v>484</v>
      </c>
      <c r="AB77" t="s">
        <v>484</v>
      </c>
      <c r="AC77" t="s">
        <v>484</v>
      </c>
    </row>
  </sheetData>
  <autoFilter ref="A1:AC77" xr:uid="{00000000-0001-0000-0000-000000000000}">
    <filterColumn colId="1">
      <filters>
        <filter val="Память"/>
      </filters>
    </filterColumn>
    <sortState xmlns:xlrd2="http://schemas.microsoft.com/office/spreadsheetml/2017/richdata2" ref="A2:AC77">
      <sortCondition descending="1" ref="E1:E77"/>
    </sortState>
  </autoFilter>
  <sortState xmlns:xlrd2="http://schemas.microsoft.com/office/spreadsheetml/2017/richdata2" ref="A3:E54">
    <sortCondition descending="1" ref="E1:E54"/>
  </sortState>
  <phoneticPr fontId="2" type="noConversion"/>
  <conditionalFormatting sqref="E1:E16 E18:E62 E78:E1048576">
    <cfRule type="cellIs" dxfId="124" priority="120" operator="equal">
      <formula>6</formula>
    </cfRule>
    <cfRule type="cellIs" dxfId="123" priority="121" operator="equal">
      <formula>5</formula>
    </cfRule>
    <cfRule type="cellIs" dxfId="122" priority="122" operator="equal">
      <formula>4</formula>
    </cfRule>
    <cfRule type="cellIs" dxfId="121" priority="123" operator="equal">
      <formula>3</formula>
    </cfRule>
    <cfRule type="cellIs" dxfId="120" priority="124" operator="equal">
      <formula>2</formula>
    </cfRule>
    <cfRule type="cellIs" dxfId="119" priority="125" operator="equal">
      <formula>1</formula>
    </cfRule>
  </conditionalFormatting>
  <conditionalFormatting sqref="E17">
    <cfRule type="cellIs" dxfId="118" priority="106" operator="equal">
      <formula>6</formula>
    </cfRule>
    <cfRule type="cellIs" dxfId="117" priority="107" operator="equal">
      <formula>5</formula>
    </cfRule>
    <cfRule type="cellIs" dxfId="116" priority="108" operator="equal">
      <formula>4</formula>
    </cfRule>
    <cfRule type="cellIs" dxfId="115" priority="109" operator="equal">
      <formula>3</formula>
    </cfRule>
    <cfRule type="cellIs" dxfId="114" priority="110" operator="equal">
      <formula>2</formula>
    </cfRule>
    <cfRule type="cellIs" dxfId="113" priority="111" operator="equal">
      <formula>1</formula>
    </cfRule>
    <cfRule type="cellIs" dxfId="112" priority="112" operator="equal">
      <formula>0</formula>
    </cfRule>
  </conditionalFormatting>
  <conditionalFormatting sqref="E1:E16 E18:E62">
    <cfRule type="cellIs" dxfId="111" priority="126" operator="equal">
      <formula>0</formula>
    </cfRule>
  </conditionalFormatting>
  <conditionalFormatting sqref="E63">
    <cfRule type="cellIs" dxfId="110" priority="99" operator="equal">
      <formula>6</formula>
    </cfRule>
    <cfRule type="cellIs" dxfId="109" priority="100" operator="equal">
      <formula>5</formula>
    </cfRule>
    <cfRule type="cellIs" dxfId="108" priority="101" operator="equal">
      <formula>4</formula>
    </cfRule>
    <cfRule type="cellIs" dxfId="107" priority="102" operator="equal">
      <formula>3</formula>
    </cfRule>
    <cfRule type="cellIs" dxfId="106" priority="103" operator="equal">
      <formula>2</formula>
    </cfRule>
    <cfRule type="cellIs" dxfId="105" priority="104" operator="equal">
      <formula>1</formula>
    </cfRule>
  </conditionalFormatting>
  <conditionalFormatting sqref="E63">
    <cfRule type="cellIs" dxfId="104" priority="105" operator="equal">
      <formula>0</formula>
    </cfRule>
  </conditionalFormatting>
  <conditionalFormatting sqref="E64">
    <cfRule type="cellIs" dxfId="103" priority="92" operator="equal">
      <formula>6</formula>
    </cfRule>
    <cfRule type="cellIs" dxfId="102" priority="93" operator="equal">
      <formula>5</formula>
    </cfRule>
    <cfRule type="cellIs" dxfId="101" priority="94" operator="equal">
      <formula>4</formula>
    </cfRule>
    <cfRule type="cellIs" dxfId="100" priority="95" operator="equal">
      <formula>3</formula>
    </cfRule>
    <cfRule type="cellIs" dxfId="99" priority="96" operator="equal">
      <formula>2</formula>
    </cfRule>
    <cfRule type="cellIs" dxfId="98" priority="97" operator="equal">
      <formula>1</formula>
    </cfRule>
  </conditionalFormatting>
  <conditionalFormatting sqref="E64">
    <cfRule type="cellIs" dxfId="97" priority="98" operator="equal">
      <formula>0</formula>
    </cfRule>
  </conditionalFormatting>
  <conditionalFormatting sqref="E65">
    <cfRule type="cellIs" dxfId="96" priority="85" operator="equal">
      <formula>6</formula>
    </cfRule>
    <cfRule type="cellIs" dxfId="95" priority="86" operator="equal">
      <formula>5</formula>
    </cfRule>
    <cfRule type="cellIs" dxfId="94" priority="87" operator="equal">
      <formula>4</formula>
    </cfRule>
    <cfRule type="cellIs" dxfId="93" priority="88" operator="equal">
      <formula>3</formula>
    </cfRule>
    <cfRule type="cellIs" dxfId="92" priority="89" operator="equal">
      <formula>2</formula>
    </cfRule>
    <cfRule type="cellIs" dxfId="91" priority="90" operator="equal">
      <formula>1</formula>
    </cfRule>
  </conditionalFormatting>
  <conditionalFormatting sqref="E65">
    <cfRule type="cellIs" dxfId="90" priority="91" operator="equal">
      <formula>0</formula>
    </cfRule>
  </conditionalFormatting>
  <conditionalFormatting sqref="E66">
    <cfRule type="cellIs" dxfId="89" priority="78" operator="equal">
      <formula>6</formula>
    </cfRule>
    <cfRule type="cellIs" dxfId="88" priority="79" operator="equal">
      <formula>5</formula>
    </cfRule>
    <cfRule type="cellIs" dxfId="87" priority="80" operator="equal">
      <formula>4</formula>
    </cfRule>
    <cfRule type="cellIs" dxfId="86" priority="81" operator="equal">
      <formula>3</formula>
    </cfRule>
    <cfRule type="cellIs" dxfId="85" priority="82" operator="equal">
      <formula>2</formula>
    </cfRule>
    <cfRule type="cellIs" dxfId="84" priority="83" operator="equal">
      <formula>1</formula>
    </cfRule>
  </conditionalFormatting>
  <conditionalFormatting sqref="E66">
    <cfRule type="cellIs" dxfId="83" priority="84" operator="equal">
      <formula>0</formula>
    </cfRule>
  </conditionalFormatting>
  <conditionalFormatting sqref="E67">
    <cfRule type="cellIs" dxfId="82" priority="71" operator="equal">
      <formula>6</formula>
    </cfRule>
    <cfRule type="cellIs" dxfId="81" priority="72" operator="equal">
      <formula>5</formula>
    </cfRule>
    <cfRule type="cellIs" dxfId="80" priority="73" operator="equal">
      <formula>4</formula>
    </cfRule>
    <cfRule type="cellIs" dxfId="79" priority="74" operator="equal">
      <formula>3</formula>
    </cfRule>
    <cfRule type="cellIs" dxfId="78" priority="75" operator="equal">
      <formula>2</formula>
    </cfRule>
    <cfRule type="cellIs" dxfId="77" priority="76" operator="equal">
      <formula>1</formula>
    </cfRule>
  </conditionalFormatting>
  <conditionalFormatting sqref="E67">
    <cfRule type="cellIs" dxfId="76" priority="77" operator="equal">
      <formula>0</formula>
    </cfRule>
  </conditionalFormatting>
  <conditionalFormatting sqref="E68">
    <cfRule type="cellIs" dxfId="75" priority="64" operator="equal">
      <formula>6</formula>
    </cfRule>
    <cfRule type="cellIs" dxfId="74" priority="65" operator="equal">
      <formula>5</formula>
    </cfRule>
    <cfRule type="cellIs" dxfId="73" priority="66" operator="equal">
      <formula>4</formula>
    </cfRule>
    <cfRule type="cellIs" dxfId="72" priority="67" operator="equal">
      <formula>3</formula>
    </cfRule>
    <cfRule type="cellIs" dxfId="71" priority="68" operator="equal">
      <formula>2</formula>
    </cfRule>
    <cfRule type="cellIs" dxfId="70" priority="69" operator="equal">
      <formula>1</formula>
    </cfRule>
  </conditionalFormatting>
  <conditionalFormatting sqref="E68">
    <cfRule type="cellIs" dxfId="69" priority="70" operator="equal">
      <formula>0</formula>
    </cfRule>
  </conditionalFormatting>
  <conditionalFormatting sqref="E69">
    <cfRule type="cellIs" dxfId="68" priority="57" operator="equal">
      <formula>6</formula>
    </cfRule>
    <cfRule type="cellIs" dxfId="67" priority="58" operator="equal">
      <formula>5</formula>
    </cfRule>
    <cfRule type="cellIs" dxfId="66" priority="59" operator="equal">
      <formula>4</formula>
    </cfRule>
    <cfRule type="cellIs" dxfId="65" priority="60" operator="equal">
      <formula>3</formula>
    </cfRule>
    <cfRule type="cellIs" dxfId="64" priority="61" operator="equal">
      <formula>2</formula>
    </cfRule>
    <cfRule type="cellIs" dxfId="63" priority="62" operator="equal">
      <formula>1</formula>
    </cfRule>
  </conditionalFormatting>
  <conditionalFormatting sqref="E69">
    <cfRule type="cellIs" dxfId="62" priority="63" operator="equal">
      <formula>0</formula>
    </cfRule>
  </conditionalFormatting>
  <conditionalFormatting sqref="E70">
    <cfRule type="cellIs" dxfId="61" priority="50" operator="equal">
      <formula>6</formula>
    </cfRule>
    <cfRule type="cellIs" dxfId="60" priority="51" operator="equal">
      <formula>5</formula>
    </cfRule>
    <cfRule type="cellIs" dxfId="59" priority="52" operator="equal">
      <formula>4</formula>
    </cfRule>
    <cfRule type="cellIs" dxfId="58" priority="53" operator="equal">
      <formula>3</formula>
    </cfRule>
    <cfRule type="cellIs" dxfId="57" priority="54" operator="equal">
      <formula>2</formula>
    </cfRule>
    <cfRule type="cellIs" dxfId="56" priority="55" operator="equal">
      <formula>1</formula>
    </cfRule>
  </conditionalFormatting>
  <conditionalFormatting sqref="E70">
    <cfRule type="cellIs" dxfId="55" priority="56" operator="equal">
      <formula>0</formula>
    </cfRule>
  </conditionalFormatting>
  <conditionalFormatting sqref="E71">
    <cfRule type="cellIs" dxfId="54" priority="43" operator="equal">
      <formula>6</formula>
    </cfRule>
    <cfRule type="cellIs" dxfId="53" priority="44" operator="equal">
      <formula>5</formula>
    </cfRule>
    <cfRule type="cellIs" dxfId="52" priority="45" operator="equal">
      <formula>4</formula>
    </cfRule>
    <cfRule type="cellIs" dxfId="51" priority="46" operator="equal">
      <formula>3</formula>
    </cfRule>
    <cfRule type="cellIs" dxfId="50" priority="47" operator="equal">
      <formula>2</formula>
    </cfRule>
    <cfRule type="cellIs" dxfId="49" priority="48" operator="equal">
      <formula>1</formula>
    </cfRule>
  </conditionalFormatting>
  <conditionalFormatting sqref="E71">
    <cfRule type="cellIs" dxfId="48" priority="49" operator="equal">
      <formula>0</formula>
    </cfRule>
  </conditionalFormatting>
  <conditionalFormatting sqref="E72">
    <cfRule type="cellIs" dxfId="47" priority="36" operator="equal">
      <formula>6</formula>
    </cfRule>
    <cfRule type="cellIs" dxfId="46" priority="37" operator="equal">
      <formula>5</formula>
    </cfRule>
    <cfRule type="cellIs" dxfId="45" priority="38" operator="equal">
      <formula>4</formula>
    </cfRule>
    <cfRule type="cellIs" dxfId="44" priority="39" operator="equal">
      <formula>3</formula>
    </cfRule>
    <cfRule type="cellIs" dxfId="43" priority="40" operator="equal">
      <formula>2</formula>
    </cfRule>
    <cfRule type="cellIs" dxfId="42" priority="41" operator="equal">
      <formula>1</formula>
    </cfRule>
  </conditionalFormatting>
  <conditionalFormatting sqref="E72">
    <cfRule type="cellIs" dxfId="41" priority="42" operator="equal">
      <formula>0</formula>
    </cfRule>
  </conditionalFormatting>
  <conditionalFormatting sqref="E73">
    <cfRule type="cellIs" dxfId="40" priority="29" operator="equal">
      <formula>6</formula>
    </cfRule>
    <cfRule type="cellIs" dxfId="39" priority="30" operator="equal">
      <formula>5</formula>
    </cfRule>
    <cfRule type="cellIs" dxfId="38" priority="31" operator="equal">
      <formula>4</formula>
    </cfRule>
    <cfRule type="cellIs" dxfId="37" priority="32" operator="equal">
      <formula>3</formula>
    </cfRule>
    <cfRule type="cellIs" dxfId="36" priority="33" operator="equal">
      <formula>2</formula>
    </cfRule>
    <cfRule type="cellIs" dxfId="35" priority="34" operator="equal">
      <formula>1</formula>
    </cfRule>
  </conditionalFormatting>
  <conditionalFormatting sqref="E73">
    <cfRule type="cellIs" dxfId="34" priority="35" operator="equal">
      <formula>0</formula>
    </cfRule>
  </conditionalFormatting>
  <conditionalFormatting sqref="E74">
    <cfRule type="cellIs" dxfId="33" priority="22" operator="equal">
      <formula>6</formula>
    </cfRule>
    <cfRule type="cellIs" dxfId="32" priority="23" operator="equal">
      <formula>5</formula>
    </cfRule>
    <cfRule type="cellIs" dxfId="31" priority="24" operator="equal">
      <formula>4</formula>
    </cfRule>
    <cfRule type="cellIs" dxfId="30" priority="25" operator="equal">
      <formula>3</formula>
    </cfRule>
    <cfRule type="cellIs" dxfId="29" priority="26" operator="equal">
      <formula>2</formula>
    </cfRule>
    <cfRule type="cellIs" dxfId="28" priority="27" operator="equal">
      <formula>1</formula>
    </cfRule>
  </conditionalFormatting>
  <conditionalFormatting sqref="E74">
    <cfRule type="cellIs" dxfId="27" priority="28" operator="equal">
      <formula>0</formula>
    </cfRule>
  </conditionalFormatting>
  <conditionalFormatting sqref="E75">
    <cfRule type="cellIs" dxfId="26" priority="15" operator="equal">
      <formula>6</formula>
    </cfRule>
    <cfRule type="cellIs" dxfId="25" priority="16" operator="equal">
      <formula>5</formula>
    </cfRule>
    <cfRule type="cellIs" dxfId="24" priority="17" operator="equal">
      <formula>4</formula>
    </cfRule>
    <cfRule type="cellIs" dxfId="23" priority="18" operator="equal">
      <formula>3</formula>
    </cfRule>
    <cfRule type="cellIs" dxfId="22" priority="19" operator="equal">
      <formula>2</formula>
    </cfRule>
    <cfRule type="cellIs" dxfId="21" priority="20" operator="equal">
      <formula>1</formula>
    </cfRule>
  </conditionalFormatting>
  <conditionalFormatting sqref="E75">
    <cfRule type="cellIs" dxfId="20" priority="21" operator="equal">
      <formula>0</formula>
    </cfRule>
  </conditionalFormatting>
  <conditionalFormatting sqref="E76">
    <cfRule type="cellIs" dxfId="19" priority="8" operator="equal">
      <formula>6</formula>
    </cfRule>
    <cfRule type="cellIs" dxfId="18" priority="9" operator="equal">
      <formula>5</formula>
    </cfRule>
    <cfRule type="cellIs" dxfId="17" priority="10" operator="equal">
      <formula>4</formula>
    </cfRule>
    <cfRule type="cellIs" dxfId="16" priority="11" operator="equal">
      <formula>3</formula>
    </cfRule>
    <cfRule type="cellIs" dxfId="15" priority="12" operator="equal">
      <formula>2</formula>
    </cfRule>
    <cfRule type="cellIs" dxfId="14" priority="13" operator="equal">
      <formula>1</formula>
    </cfRule>
  </conditionalFormatting>
  <conditionalFormatting sqref="E76">
    <cfRule type="cellIs" dxfId="13" priority="14" operator="equal">
      <formula>0</formula>
    </cfRule>
  </conditionalFormatting>
  <conditionalFormatting sqref="E77">
    <cfRule type="cellIs" dxfId="12" priority="1" operator="equal">
      <formula>6</formula>
    </cfRule>
    <cfRule type="cellIs" dxfId="11" priority="2" operator="equal">
      <formula>5</formula>
    </cfRule>
    <cfRule type="cellIs" dxfId="10" priority="3" operator="equal">
      <formula>4</formula>
    </cfRule>
    <cfRule type="cellIs" dxfId="9" priority="4" operator="equal">
      <formula>3</formula>
    </cfRule>
    <cfRule type="cellIs" dxfId="8" priority="5" operator="equal">
      <formula>2</formula>
    </cfRule>
    <cfRule type="cellIs" dxfId="7" priority="6" operator="equal">
      <formula>1</formula>
    </cfRule>
  </conditionalFormatting>
  <conditionalFormatting sqref="E77">
    <cfRule type="cellIs" dxfId="6" priority="7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8DD9-DDD5-487A-B1A7-E21ACE17D53A}">
  <dimension ref="A1:K29"/>
  <sheetViews>
    <sheetView workbookViewId="0">
      <selection activeCell="C3" sqref="C3"/>
    </sheetView>
  </sheetViews>
  <sheetFormatPr defaultRowHeight="14.4" x14ac:dyDescent="0.3"/>
  <cols>
    <col min="1" max="1" width="34.21875" bestFit="1" customWidth="1"/>
    <col min="2" max="2" width="9.44140625" customWidth="1"/>
  </cols>
  <sheetData>
    <row r="1" spans="1:8" x14ac:dyDescent="0.3">
      <c r="E1" t="s">
        <v>70</v>
      </c>
    </row>
    <row r="2" spans="1:8" x14ac:dyDescent="0.3">
      <c r="A2" t="s">
        <v>462</v>
      </c>
      <c r="B2">
        <v>0</v>
      </c>
      <c r="C2">
        <f>SUMIF('Хср персы'!G:G,A2,'Хср персы'!F:F)</f>
        <v>65</v>
      </c>
      <c r="D2">
        <f t="shared" ref="D2:D5" si="0">C2-B2</f>
        <v>65</v>
      </c>
      <c r="E2">
        <f t="shared" ref="E2:E5" si="1">IF(MOD(D2,5)=0,D2/5,INT(D2/5)+1)</f>
        <v>13</v>
      </c>
      <c r="F2">
        <f t="shared" ref="F2:F5" si="2">E2*30</f>
        <v>390</v>
      </c>
      <c r="G2">
        <f>F$2</f>
        <v>390</v>
      </c>
      <c r="H2" s="2">
        <f t="shared" ref="H2:H5" si="3">E2*5-D2</f>
        <v>0</v>
      </c>
    </row>
    <row r="3" spans="1:8" x14ac:dyDescent="0.3">
      <c r="A3" t="s">
        <v>461</v>
      </c>
      <c r="B3">
        <v>0</v>
      </c>
      <c r="C3">
        <f>SUMIF('Хср персы'!G:G,A3,'Хср персы'!F:F)</f>
        <v>0</v>
      </c>
      <c r="D3">
        <f t="shared" si="0"/>
        <v>0</v>
      </c>
      <c r="E3">
        <f t="shared" si="1"/>
        <v>0</v>
      </c>
      <c r="F3">
        <f t="shared" si="2"/>
        <v>0</v>
      </c>
      <c r="G3">
        <f>SUM($F$2:F3)</f>
        <v>390</v>
      </c>
      <c r="H3" s="2">
        <f t="shared" si="3"/>
        <v>0</v>
      </c>
    </row>
    <row r="4" spans="1:8" x14ac:dyDescent="0.3">
      <c r="A4" t="s">
        <v>471</v>
      </c>
      <c r="B4">
        <v>0</v>
      </c>
      <c r="C4">
        <f>SUMIF('Хср персы'!G:G,A4,'Хср персы'!F:F)</f>
        <v>65</v>
      </c>
      <c r="D4">
        <f t="shared" si="0"/>
        <v>65</v>
      </c>
      <c r="E4">
        <f t="shared" si="1"/>
        <v>13</v>
      </c>
      <c r="F4">
        <f t="shared" si="2"/>
        <v>390</v>
      </c>
      <c r="G4">
        <f>SUM($F$2:F4)</f>
        <v>780</v>
      </c>
      <c r="H4" s="2">
        <f t="shared" si="3"/>
        <v>0</v>
      </c>
    </row>
    <row r="5" spans="1:8" x14ac:dyDescent="0.3">
      <c r="A5" t="s">
        <v>463</v>
      </c>
      <c r="B5">
        <v>65</v>
      </c>
      <c r="C5">
        <f>SUMIF('Хср персы'!G:G,A5,'Хср персы'!F:F)</f>
        <v>195</v>
      </c>
      <c r="D5">
        <f t="shared" si="0"/>
        <v>130</v>
      </c>
      <c r="E5">
        <f t="shared" si="1"/>
        <v>26</v>
      </c>
      <c r="F5">
        <f t="shared" si="2"/>
        <v>780</v>
      </c>
      <c r="G5">
        <f>SUM($F$2:F5)</f>
        <v>1560</v>
      </c>
      <c r="H5" s="2">
        <f t="shared" si="3"/>
        <v>0</v>
      </c>
    </row>
    <row r="6" spans="1:8" x14ac:dyDescent="0.3">
      <c r="A6" t="s">
        <v>81</v>
      </c>
      <c r="B6">
        <f>C6</f>
        <v>65</v>
      </c>
      <c r="C6">
        <f>SUMIF('Хср персы'!G:G,A6,'Хср персы'!F:F)</f>
        <v>65</v>
      </c>
      <c r="D6">
        <f>C6-B6</f>
        <v>0</v>
      </c>
      <c r="E6">
        <f>IF(MOD(D6,5)=0,D6/5,INT(D6/5)+1)</f>
        <v>0</v>
      </c>
      <c r="F6">
        <f>E6*30</f>
        <v>0</v>
      </c>
      <c r="G6">
        <f>SUM($F$2:F6)</f>
        <v>1560</v>
      </c>
      <c r="H6" s="2">
        <f>E6*5-D6</f>
        <v>0</v>
      </c>
    </row>
    <row r="7" spans="1:8" x14ac:dyDescent="0.3">
      <c r="A7" t="s">
        <v>78</v>
      </c>
      <c r="B7">
        <f>C7</f>
        <v>260</v>
      </c>
      <c r="C7">
        <f>SUMIF('Хср персы'!G:G,A7,'Хср персы'!F:F)</f>
        <v>260</v>
      </c>
      <c r="D7">
        <f>C7-B7</f>
        <v>0</v>
      </c>
      <c r="E7">
        <f>IF(MOD(D7,5)=0,D7/5,INT(D7/5)+1)</f>
        <v>0</v>
      </c>
      <c r="F7">
        <f>E7*30</f>
        <v>0</v>
      </c>
      <c r="G7">
        <f>SUM($F$2:F7)</f>
        <v>1560</v>
      </c>
      <c r="H7" s="2">
        <f>E7*5-D7</f>
        <v>0</v>
      </c>
    </row>
    <row r="8" spans="1:8" x14ac:dyDescent="0.3">
      <c r="A8" t="s">
        <v>77</v>
      </c>
      <c r="B8">
        <f>C8</f>
        <v>65</v>
      </c>
      <c r="C8">
        <f>SUMIF('Хср персы'!G:G,A8,'Хср персы'!F:F)</f>
        <v>65</v>
      </c>
      <c r="D8">
        <f>C8-B8</f>
        <v>0</v>
      </c>
      <c r="E8">
        <f>IF(MOD(D8,5)=0,D8/5,INT(D8/5)+1)</f>
        <v>0</v>
      </c>
      <c r="F8">
        <f>E8*30</f>
        <v>0</v>
      </c>
      <c r="G8">
        <f>SUM($F$2:F8)</f>
        <v>1560</v>
      </c>
      <c r="H8" s="2">
        <f>E8*5-D8</f>
        <v>0</v>
      </c>
    </row>
    <row r="9" spans="1:8" x14ac:dyDescent="0.3">
      <c r="A9" t="s">
        <v>65</v>
      </c>
      <c r="B9">
        <v>3</v>
      </c>
      <c r="C9" s="1">
        <f>SUMIF('Хср персы'!G:G,A9,'Хср персы'!F:F)</f>
        <v>192</v>
      </c>
      <c r="D9">
        <f>C9-B9</f>
        <v>189</v>
      </c>
      <c r="E9">
        <f>IF(MOD(D9,5)=0,D9/5,INT(D9/5)+1)</f>
        <v>38</v>
      </c>
      <c r="F9">
        <f>E9*30</f>
        <v>1140</v>
      </c>
      <c r="G9">
        <f>SUM($F$2:F9)</f>
        <v>2700</v>
      </c>
      <c r="H9" s="2">
        <f>E9*5-D9</f>
        <v>1</v>
      </c>
    </row>
    <row r="10" spans="1:8" x14ac:dyDescent="0.3">
      <c r="A10" t="s">
        <v>54</v>
      </c>
      <c r="B10">
        <f>C10</f>
        <v>28</v>
      </c>
      <c r="C10">
        <f>SUMIF('Хср персы'!G:G,A10,'Хср персы'!F:F)</f>
        <v>28</v>
      </c>
      <c r="D10">
        <f>C10-B10</f>
        <v>0</v>
      </c>
      <c r="E10">
        <f>IF(MOD(D10,5)=0,D10/5,INT(D10/5)+1)</f>
        <v>0</v>
      </c>
      <c r="F10">
        <f>E10*30</f>
        <v>0</v>
      </c>
      <c r="G10">
        <f>SUM($F$2:F10)</f>
        <v>2700</v>
      </c>
      <c r="H10" s="2">
        <f>E10*5-D10</f>
        <v>0</v>
      </c>
    </row>
    <row r="11" spans="1:8" x14ac:dyDescent="0.3">
      <c r="A11" t="s">
        <v>57</v>
      </c>
      <c r="B11">
        <f>C11</f>
        <v>155</v>
      </c>
      <c r="C11">
        <f>SUMIF('Хср персы'!G:G,A11,'Хср персы'!F:F)</f>
        <v>155</v>
      </c>
      <c r="D11">
        <f>C11-B11</f>
        <v>0</v>
      </c>
      <c r="E11">
        <f>IF(MOD(D11,5)=0,D11/5,INT(D11/5)+1)</f>
        <v>0</v>
      </c>
      <c r="F11">
        <f>E11*30</f>
        <v>0</v>
      </c>
      <c r="G11">
        <f>SUM($F$2:F11)</f>
        <v>2700</v>
      </c>
      <c r="H11" s="2">
        <f>E11*5-D11</f>
        <v>0</v>
      </c>
    </row>
    <row r="12" spans="1:8" x14ac:dyDescent="0.3">
      <c r="A12" t="s">
        <v>64</v>
      </c>
      <c r="B12">
        <v>0</v>
      </c>
      <c r="C12" s="1">
        <f>SUMIF('Хср персы'!G:G,A12,'Хср персы'!F:F)</f>
        <v>161</v>
      </c>
      <c r="D12">
        <f>C12-B12</f>
        <v>161</v>
      </c>
      <c r="E12">
        <f>IF(MOD(D12,5)=0,D12/5,INT(D12/5)+1)</f>
        <v>33</v>
      </c>
      <c r="F12">
        <f>E12*30</f>
        <v>990</v>
      </c>
      <c r="G12">
        <f>SUM($F$2:F12)</f>
        <v>3690</v>
      </c>
      <c r="H12" s="2">
        <f>E12*5-D12</f>
        <v>4</v>
      </c>
    </row>
    <row r="13" spans="1:8" x14ac:dyDescent="0.3">
      <c r="A13" t="s">
        <v>68</v>
      </c>
      <c r="B13">
        <f>C13</f>
        <v>65</v>
      </c>
      <c r="C13">
        <f>SUMIF('Хср персы'!G:G,A13,'Хср персы'!F:F)</f>
        <v>65</v>
      </c>
      <c r="D13">
        <f>C13-B13</f>
        <v>0</v>
      </c>
      <c r="E13">
        <f>IF(MOD(D13,5)=0,D13/5,INT(D13/5)+1)</f>
        <v>0</v>
      </c>
      <c r="F13">
        <f>E13*30</f>
        <v>0</v>
      </c>
      <c r="G13">
        <f>SUM($F$2:F13)</f>
        <v>3690</v>
      </c>
      <c r="H13" s="2">
        <f>E13*5-D13</f>
        <v>0</v>
      </c>
    </row>
    <row r="14" spans="1:8" x14ac:dyDescent="0.3">
      <c r="A14" t="s">
        <v>67</v>
      </c>
      <c r="B14">
        <v>0</v>
      </c>
      <c r="C14">
        <f>SUMIF('Хср персы'!G:G,A14,'Хср персы'!F:F)</f>
        <v>195</v>
      </c>
      <c r="D14">
        <f>C14-B14</f>
        <v>195</v>
      </c>
      <c r="E14">
        <f>IF(MOD(D14,5)=0,D14/5,INT(D14/5)+1)</f>
        <v>39</v>
      </c>
      <c r="F14">
        <f>E14*30</f>
        <v>1170</v>
      </c>
      <c r="G14">
        <f>SUM($F$2:F14)</f>
        <v>4860</v>
      </c>
      <c r="H14" s="2">
        <f>E14*5-D14</f>
        <v>0</v>
      </c>
    </row>
    <row r="15" spans="1:8" x14ac:dyDescent="0.3">
      <c r="A15" t="s">
        <v>67</v>
      </c>
      <c r="B15">
        <v>0</v>
      </c>
      <c r="C15">
        <f>SUMIF('Хср персы'!G:G,A15,'Хср персы'!F:F)</f>
        <v>195</v>
      </c>
      <c r="D15">
        <f>C15-B15</f>
        <v>195</v>
      </c>
      <c r="E15">
        <f>IF(MOD(D15,5)=0,D15/5,INT(D15/5)+1)</f>
        <v>39</v>
      </c>
      <c r="F15">
        <f>E15*30</f>
        <v>1170</v>
      </c>
      <c r="G15">
        <f>SUM($F$2:F15)</f>
        <v>6030</v>
      </c>
      <c r="H15" s="2">
        <f>E15*5-D15</f>
        <v>0</v>
      </c>
    </row>
    <row r="16" spans="1:8" x14ac:dyDescent="0.3">
      <c r="A16" t="s">
        <v>58</v>
      </c>
      <c r="B16">
        <f>C16</f>
        <v>55</v>
      </c>
      <c r="C16">
        <f>SUMIF('Хср персы'!G:G,A16,'Хср персы'!F:F)</f>
        <v>55</v>
      </c>
      <c r="D16">
        <f>C16-B16</f>
        <v>0</v>
      </c>
      <c r="E16">
        <f>IF(MOD(D16,5)=0,D16/5,INT(D16/5)+1)</f>
        <v>0</v>
      </c>
      <c r="F16">
        <f>E16*30</f>
        <v>0</v>
      </c>
      <c r="G16">
        <f>SUM($F$2:F16)</f>
        <v>6030</v>
      </c>
      <c r="H16" s="2">
        <f>E16*5-D16</f>
        <v>0</v>
      </c>
    </row>
    <row r="17" spans="1:11" x14ac:dyDescent="0.3">
      <c r="A17" t="s">
        <v>51</v>
      </c>
      <c r="B17">
        <f>C17</f>
        <v>130</v>
      </c>
      <c r="C17">
        <f>SUMIF('Хср персы'!G:G,A17,'Хср персы'!F:F)</f>
        <v>130</v>
      </c>
      <c r="D17">
        <f>C17-B17</f>
        <v>0</v>
      </c>
      <c r="E17">
        <f>IF(MOD(D17,5)=0,D17/5,INT(D17/5)+1)</f>
        <v>0</v>
      </c>
      <c r="F17">
        <f>E17*30</f>
        <v>0</v>
      </c>
      <c r="G17">
        <f>SUM($F$2:F17)</f>
        <v>6030</v>
      </c>
      <c r="H17" s="2">
        <f>E17*5-D17</f>
        <v>0</v>
      </c>
    </row>
    <row r="18" spans="1:11" x14ac:dyDescent="0.3">
      <c r="A18" t="s">
        <v>60</v>
      </c>
      <c r="B18">
        <f>C18</f>
        <v>65</v>
      </c>
      <c r="C18">
        <f>SUMIF('Хср персы'!G:G,A18,'Хср персы'!F:F)</f>
        <v>65</v>
      </c>
      <c r="D18">
        <f>C18-B18</f>
        <v>0</v>
      </c>
      <c r="E18">
        <f>IF(MOD(D18,5)=0,D18/5,INT(D18/5)+1)</f>
        <v>0</v>
      </c>
      <c r="F18">
        <f>E18*30</f>
        <v>0</v>
      </c>
      <c r="G18">
        <f>SUM($F$2:F18)</f>
        <v>6030</v>
      </c>
      <c r="H18" s="2">
        <f>E18*5-D18</f>
        <v>0</v>
      </c>
    </row>
    <row r="19" spans="1:11" x14ac:dyDescent="0.3">
      <c r="A19" t="s">
        <v>66</v>
      </c>
      <c r="B19">
        <v>0</v>
      </c>
      <c r="C19">
        <f>SUMIF('Хср персы'!G:G,A19,'Хср персы'!F:F)</f>
        <v>178</v>
      </c>
      <c r="D19">
        <f>C19-B19</f>
        <v>178</v>
      </c>
      <c r="E19">
        <f>IF(MOD(D19,5)=0,D19/5,INT(D19/5)+1)</f>
        <v>36</v>
      </c>
      <c r="F19">
        <f>E19*30</f>
        <v>1080</v>
      </c>
      <c r="G19">
        <f>SUM($F$2:F19)</f>
        <v>7110</v>
      </c>
      <c r="H19" s="2">
        <f>E19*5-D19</f>
        <v>2</v>
      </c>
    </row>
    <row r="20" spans="1:11" x14ac:dyDescent="0.3">
      <c r="A20" t="s">
        <v>56</v>
      </c>
      <c r="B20">
        <f>C20</f>
        <v>139</v>
      </c>
      <c r="C20">
        <f>SUMIF('Хср персы'!G:G,A20,'Хср персы'!F:F)</f>
        <v>139</v>
      </c>
      <c r="D20">
        <f>C20-B20</f>
        <v>0</v>
      </c>
      <c r="E20">
        <f>IF(MOD(D20,5)=0,D20/5,INT(D20/5)+1)</f>
        <v>0</v>
      </c>
      <c r="F20">
        <f>E20*30</f>
        <v>0</v>
      </c>
      <c r="G20">
        <f>SUM($F$2:F20)</f>
        <v>7110</v>
      </c>
      <c r="H20" s="2">
        <f>E20*5-D20</f>
        <v>0</v>
      </c>
    </row>
    <row r="21" spans="1:11" x14ac:dyDescent="0.3">
      <c r="A21" t="s">
        <v>53</v>
      </c>
      <c r="B21">
        <f>C21</f>
        <v>0</v>
      </c>
      <c r="C21">
        <f>SUMIF('Хср персы'!G:G,A21,'Хср персы'!F:F)</f>
        <v>0</v>
      </c>
      <c r="D21">
        <f>C21-B21</f>
        <v>0</v>
      </c>
      <c r="E21">
        <f>IF(MOD(D21,5)=0,D21/5,INT(D21/5)+1)</f>
        <v>0</v>
      </c>
      <c r="F21">
        <f>E21*30</f>
        <v>0</v>
      </c>
      <c r="G21">
        <f>SUM($F$2:F21)</f>
        <v>7110</v>
      </c>
      <c r="H21" s="2">
        <f>E21*5-D21</f>
        <v>0</v>
      </c>
    </row>
    <row r="22" spans="1:11" x14ac:dyDescent="0.3">
      <c r="A22" t="s">
        <v>52</v>
      </c>
      <c r="B22">
        <f>C22</f>
        <v>62</v>
      </c>
      <c r="C22">
        <f>SUMIF('Хср персы'!G:G,A22,'Хср персы'!F:F)</f>
        <v>62</v>
      </c>
      <c r="D22">
        <f>C22-B22</f>
        <v>0</v>
      </c>
      <c r="E22">
        <f>IF(MOD(D22,5)=0,D22/5,INT(D22/5)+1)</f>
        <v>0</v>
      </c>
      <c r="F22">
        <f>E22*30</f>
        <v>0</v>
      </c>
      <c r="G22">
        <f>SUM($F$2:F22)</f>
        <v>7110</v>
      </c>
      <c r="H22" s="2">
        <f>E22*5-D22</f>
        <v>0</v>
      </c>
    </row>
    <row r="23" spans="1:11" x14ac:dyDescent="0.3">
      <c r="A23" t="s">
        <v>59</v>
      </c>
      <c r="B23">
        <v>0</v>
      </c>
      <c r="C23">
        <f>SUMIF('Хср персы'!G:G,A23,'Хср персы'!F:F)</f>
        <v>65</v>
      </c>
      <c r="D23">
        <f>C23-B23</f>
        <v>65</v>
      </c>
      <c r="E23">
        <f>IF(MOD(D23,5)=0,D23/5,INT(D23/5)+1)</f>
        <v>13</v>
      </c>
      <c r="F23">
        <f>E23*30</f>
        <v>390</v>
      </c>
      <c r="G23">
        <f>SUM($F$2:F23)</f>
        <v>7500</v>
      </c>
      <c r="H23" s="2">
        <f>E23*5-D23</f>
        <v>0</v>
      </c>
      <c r="I23">
        <f>SUM(F:F)</f>
        <v>9660</v>
      </c>
      <c r="J23">
        <f>ROUNDUP(I23/240,0)</f>
        <v>41</v>
      </c>
      <c r="K23">
        <f>I23/30</f>
        <v>322</v>
      </c>
    </row>
    <row r="24" spans="1:11" x14ac:dyDescent="0.3">
      <c r="A24" t="s">
        <v>62</v>
      </c>
      <c r="B24">
        <f>C24</f>
        <v>130</v>
      </c>
      <c r="C24">
        <f>SUMIF('Хср персы'!G:G,A24,'Хср персы'!F:F)</f>
        <v>130</v>
      </c>
      <c r="D24">
        <f>C24-B24</f>
        <v>0</v>
      </c>
      <c r="E24">
        <f>IF(MOD(D24,5)=0,D24/5,INT(D24/5)+1)</f>
        <v>0</v>
      </c>
      <c r="F24">
        <f>E24*30</f>
        <v>0</v>
      </c>
      <c r="G24">
        <f>SUM($F$2:F24)</f>
        <v>7500</v>
      </c>
      <c r="H24" s="2">
        <f>E24*5-D24</f>
        <v>0</v>
      </c>
    </row>
    <row r="25" spans="1:11" x14ac:dyDescent="0.3">
      <c r="A25" t="s">
        <v>55</v>
      </c>
      <c r="B25">
        <f>C25</f>
        <v>76</v>
      </c>
      <c r="C25">
        <f>SUMIF('Хср персы'!G:G,A25,'Хср персы'!F:F)</f>
        <v>76</v>
      </c>
      <c r="D25">
        <f>C25-B25</f>
        <v>0</v>
      </c>
      <c r="E25">
        <f>IF(MOD(D25,5)=0,D25/5,INT(D25/5)+1)</f>
        <v>0</v>
      </c>
      <c r="F25">
        <f>E25*30</f>
        <v>0</v>
      </c>
      <c r="G25">
        <f>SUM($F$2:F25)</f>
        <v>7500</v>
      </c>
      <c r="H25" s="2">
        <f>E25*5-D25</f>
        <v>0</v>
      </c>
    </row>
    <row r="26" spans="1:11" x14ac:dyDescent="0.3">
      <c r="A26" t="s">
        <v>69</v>
      </c>
      <c r="B26">
        <v>0</v>
      </c>
      <c r="C26">
        <f>SUMIF('Хср персы'!G:G,A26,'Хср персы'!F:F)</f>
        <v>195</v>
      </c>
      <c r="D26">
        <f>C26-B26</f>
        <v>195</v>
      </c>
      <c r="E26">
        <f>IF(MOD(D26,5)=0,D26/5,INT(D26/5)+1)</f>
        <v>39</v>
      </c>
      <c r="F26">
        <f>E26*30</f>
        <v>1170</v>
      </c>
      <c r="G26">
        <f>SUM($F$2:F26)</f>
        <v>8670</v>
      </c>
      <c r="H26" s="2">
        <f>E26*5-D26</f>
        <v>0</v>
      </c>
    </row>
    <row r="27" spans="1:11" x14ac:dyDescent="0.3">
      <c r="A27" t="s">
        <v>63</v>
      </c>
      <c r="B27">
        <v>0</v>
      </c>
      <c r="C27" s="1">
        <f>SUMIF('Хср персы'!G:G,A27,'Хср персы'!F:F)</f>
        <v>161</v>
      </c>
      <c r="D27">
        <f>C27-B27</f>
        <v>161</v>
      </c>
      <c r="E27">
        <f>IF(MOD(D27,5)=0,D27/5,INT(D27/5)+1)</f>
        <v>33</v>
      </c>
      <c r="F27">
        <f>E27*30</f>
        <v>990</v>
      </c>
      <c r="G27">
        <f>SUM($F$2:F27)</f>
        <v>9660</v>
      </c>
      <c r="H27" s="2">
        <f>E27*5-D27</f>
        <v>4</v>
      </c>
    </row>
    <row r="28" spans="1:11" x14ac:dyDescent="0.3">
      <c r="G28">
        <f>SUM($F$2:F27)</f>
        <v>9660</v>
      </c>
      <c r="H28" s="2">
        <f>E28*5-D28</f>
        <v>0</v>
      </c>
      <c r="I28">
        <f>SUM(E:E)</f>
        <v>322</v>
      </c>
    </row>
    <row r="29" spans="1:11" x14ac:dyDescent="0.3">
      <c r="H29" s="2"/>
    </row>
  </sheetData>
  <autoFilter ref="A1:K28" xr:uid="{68278DD9-DDD5-487A-B1A7-E21ACE17D53A}">
    <sortState xmlns:xlrd2="http://schemas.microsoft.com/office/spreadsheetml/2017/richdata2" ref="A2:K28">
      <sortCondition ref="A1:A28"/>
    </sortState>
  </autoFilter>
  <conditionalFormatting sqref="D7:D27">
    <cfRule type="cellIs" dxfId="5" priority="1" operator="equal">
      <formula>0</formula>
    </cfRule>
    <cfRule type="cellIs" dxfId="4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062A-0226-437F-882A-AB6591A19528}">
  <dimension ref="A2:B8"/>
  <sheetViews>
    <sheetView workbookViewId="0">
      <selection activeCell="E10" sqref="E10"/>
    </sheetView>
  </sheetViews>
  <sheetFormatPr defaultRowHeight="14.4" x14ac:dyDescent="0.3"/>
  <cols>
    <col min="1" max="1" width="18.33203125" bestFit="1" customWidth="1"/>
  </cols>
  <sheetData>
    <row r="2" spans="1:2" x14ac:dyDescent="0.3">
      <c r="A2" s="3" t="s">
        <v>494</v>
      </c>
      <c r="B2">
        <f>SUMIF('Хср персы'!J:J,A2,'Хср персы'!F:F)</f>
        <v>195</v>
      </c>
    </row>
    <row r="3" spans="1:2" x14ac:dyDescent="0.3">
      <c r="A3" s="3" t="s">
        <v>492</v>
      </c>
      <c r="B3">
        <f>SUMIF('Хср персы'!J:J,A3,'Хср персы'!F:F)</f>
        <v>325</v>
      </c>
    </row>
    <row r="4" spans="1:2" x14ac:dyDescent="0.3">
      <c r="A4" s="79" t="s">
        <v>495</v>
      </c>
      <c r="B4">
        <f>SUMIF('Хср персы'!J:J,A4,'Хср персы'!F:F)</f>
        <v>447</v>
      </c>
    </row>
    <row r="5" spans="1:2" x14ac:dyDescent="0.3">
      <c r="A5" s="3" t="s">
        <v>489</v>
      </c>
      <c r="B5">
        <f>SUMIF('Хср персы'!J:J,A5,'Хср персы'!F:F)</f>
        <v>474</v>
      </c>
    </row>
    <row r="6" spans="1:2" x14ac:dyDescent="0.3">
      <c r="A6" s="3" t="s">
        <v>493</v>
      </c>
      <c r="B6">
        <f>SUMIF('Хср персы'!J:J,A6,'Хср персы'!F:F)</f>
        <v>195</v>
      </c>
    </row>
    <row r="7" spans="1:2" x14ac:dyDescent="0.3">
      <c r="A7" s="3" t="s">
        <v>490</v>
      </c>
      <c r="B7">
        <f>SUMIF('Хср персы'!J:J,A7,'Хср персы'!F:F)</f>
        <v>891</v>
      </c>
    </row>
    <row r="8" spans="1:2" x14ac:dyDescent="0.3">
      <c r="A8" s="3" t="s">
        <v>491</v>
      </c>
      <c r="B8">
        <f>SUMIF('Хср персы'!J:J,A8,'Хср персы'!F:F)</f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773A-1925-42C3-B4A3-58634A3651D3}">
  <dimension ref="A1"/>
  <sheetViews>
    <sheetView workbookViewId="0">
      <selection activeCell="G20" sqref="G20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FC2B7-3706-4F6C-8052-A3EE43AC81FB}">
  <dimension ref="A1:AR105"/>
  <sheetViews>
    <sheetView zoomScaleNormal="100" workbookViewId="0">
      <pane xSplit="1" topLeftCell="B1" activePane="topRight" state="frozen"/>
      <selection pane="topRight" activeCell="AA50" activeCellId="1" sqref="AA79 AA50"/>
    </sheetView>
  </sheetViews>
  <sheetFormatPr defaultRowHeight="14.4" x14ac:dyDescent="0.3"/>
  <cols>
    <col min="1" max="1" width="15.33203125" style="26" bestFit="1" customWidth="1"/>
    <col min="2" max="2" width="8.6640625" style="26" bestFit="1" customWidth="1"/>
    <col min="3" max="3" width="11.109375" style="26" bestFit="1" customWidth="1"/>
    <col min="4" max="4" width="7.88671875" style="26" bestFit="1" customWidth="1"/>
    <col min="5" max="5" width="12" style="26" bestFit="1" customWidth="1"/>
    <col min="6" max="8" width="8.109375" style="26" bestFit="1" customWidth="1"/>
    <col min="9" max="12" width="10.109375" style="24" bestFit="1" customWidth="1"/>
    <col min="13" max="13" width="10.77734375" style="26" bestFit="1" customWidth="1"/>
    <col min="14" max="14" width="22.88671875" style="27" bestFit="1" customWidth="1"/>
    <col min="15" max="15" width="5.44140625" style="24" bestFit="1" customWidth="1"/>
    <col min="16" max="17" width="5" style="24" bestFit="1" customWidth="1"/>
    <col min="18" max="18" width="20.33203125" style="27" customWidth="1"/>
    <col min="19" max="19" width="10.77734375" style="24" bestFit="1" customWidth="1"/>
    <col min="20" max="20" width="29" style="26" bestFit="1" customWidth="1"/>
    <col min="21" max="21" width="10.109375" style="24" bestFit="1" customWidth="1"/>
    <col min="22" max="22" width="4.77734375" style="24" customWidth="1"/>
    <col min="23" max="23" width="4" style="24" customWidth="1"/>
    <col min="24" max="24" width="3" style="24" bestFit="1" customWidth="1"/>
    <col min="25" max="25" width="16.21875" style="26" customWidth="1"/>
    <col min="26" max="26" width="10.77734375" style="26" bestFit="1" customWidth="1"/>
    <col min="27" max="27" width="27" style="26" bestFit="1" customWidth="1"/>
    <col min="28" max="28" width="10.77734375" bestFit="1" customWidth="1"/>
    <col min="29" max="29" width="18.6640625" bestFit="1" customWidth="1"/>
  </cols>
  <sheetData>
    <row r="1" spans="1:30" s="71" customFormat="1" ht="15" thickBot="1" x14ac:dyDescent="0.35">
      <c r="A1" s="58" t="s">
        <v>367</v>
      </c>
      <c r="B1" s="59" t="s">
        <v>174</v>
      </c>
      <c r="C1" s="59" t="s">
        <v>333</v>
      </c>
      <c r="D1" s="59" t="s">
        <v>190</v>
      </c>
      <c r="E1" s="59" t="s">
        <v>175</v>
      </c>
      <c r="F1" s="60" t="s">
        <v>187</v>
      </c>
      <c r="G1" s="61" t="s">
        <v>188</v>
      </c>
      <c r="H1" s="62" t="s">
        <v>189</v>
      </c>
      <c r="I1" s="60" t="s">
        <v>251</v>
      </c>
      <c r="J1" s="61" t="s">
        <v>248</v>
      </c>
      <c r="K1" s="61" t="s">
        <v>249</v>
      </c>
      <c r="L1" s="63" t="s">
        <v>250</v>
      </c>
      <c r="M1" s="64" t="s">
        <v>186</v>
      </c>
      <c r="N1" s="65" t="s">
        <v>176</v>
      </c>
      <c r="O1" s="60" t="s">
        <v>363</v>
      </c>
      <c r="P1" s="61" t="s">
        <v>290</v>
      </c>
      <c r="Q1" s="63" t="s">
        <v>364</v>
      </c>
      <c r="R1" s="66" t="s">
        <v>183</v>
      </c>
      <c r="S1" s="64" t="s">
        <v>186</v>
      </c>
      <c r="T1" s="67" t="s">
        <v>288</v>
      </c>
      <c r="U1" s="59" t="s">
        <v>287</v>
      </c>
      <c r="V1" s="68" t="s">
        <v>289</v>
      </c>
      <c r="W1" s="61" t="s">
        <v>291</v>
      </c>
      <c r="X1" s="63" t="s">
        <v>290</v>
      </c>
      <c r="Y1" s="69" t="s">
        <v>184</v>
      </c>
      <c r="Z1" s="69" t="s">
        <v>186</v>
      </c>
      <c r="AA1" s="69" t="s">
        <v>185</v>
      </c>
      <c r="AB1" s="70" t="s">
        <v>369</v>
      </c>
      <c r="AC1" s="70"/>
      <c r="AD1" s="70"/>
    </row>
    <row r="2" spans="1:30" ht="28.8" x14ac:dyDescent="0.3">
      <c r="A2" s="28" t="s">
        <v>86</v>
      </c>
      <c r="B2" s="47">
        <v>5</v>
      </c>
      <c r="C2" s="47" t="s">
        <v>335</v>
      </c>
      <c r="D2" s="74" t="s">
        <v>194</v>
      </c>
      <c r="E2" s="48">
        <v>0</v>
      </c>
      <c r="F2" s="49">
        <v>0</v>
      </c>
      <c r="G2" s="50">
        <v>0</v>
      </c>
      <c r="H2" s="51">
        <v>0</v>
      </c>
      <c r="I2" s="49">
        <f t="shared" ref="I2:I33" si="0">IF(E2=6,0,6)</f>
        <v>6</v>
      </c>
      <c r="J2" s="50">
        <f t="shared" ref="J2:J33" si="1">IF(E2=0,9,IF(E2=1,9,IF(E2=2,9,IF(E2=3,9,IF(E2=4,6,0)))))</f>
        <v>9</v>
      </c>
      <c r="K2" s="50">
        <f t="shared" ref="K2:K33" si="2">IF(E2=0,9,IF(E2=1,9,IF(E2=2,6,0)))</f>
        <v>9</v>
      </c>
      <c r="L2" s="52">
        <f t="shared" ref="L2:L33" si="3">IF(E2=0,1,0)</f>
        <v>1</v>
      </c>
      <c r="M2" s="53">
        <f t="shared" ref="M2:M33" si="4">IF(E2=0,46,IF(E2=1,46,IF(E2=2,44,IF(E2=3,40,IF(E2=4,32,IF(E2=5,20,0))))))</f>
        <v>46</v>
      </c>
      <c r="N2" s="54" t="s">
        <v>276</v>
      </c>
      <c r="O2" s="49">
        <f t="shared" ref="O2:O33" si="5">IF(E2=0,36,IF(E2=1,36,IF(E2=2,36,IF(E2=3,36,IF(E2=4,36,IF(E2=5,24,0))))))+IF(F2=0,31,IF(F2=1,31,IF(F2=2,31,IF(F2=3,31,IF(F2=4,31,IF(F2=5,31,IF(F2=6,31,IF(F2=7,27,IF(F2=8,21,IF(F2=9,12,0))))))))))+IF(G2=0,31,IF(G2=1,31,IF(G2=2,31,IF(G2=3,31,IF(G2=4,31,IF(G2=5,31,IF(G2=6,31,IF(G2=7,27,IF(G2=8,21,IF(G2=9,12,0))))))))))+IF(H2=0,31,IF(H2=1,31,IF(H2=2,31,IF(H2=3,31,IF(H2=4,31,IF(H2=5,31,IF(H2=6,31,IF(H2=7,27,IF(H2=8,21,IF(H2=9,12,0))))))))))</f>
        <v>129</v>
      </c>
      <c r="P2" s="50">
        <f t="shared" ref="P2:P33" si="6">IF(E2=0,30,IF(E2=1,30,IF(E2=2,30,IF(E2=3,18,0))))+IF(F2=0,22,IF(F2=1,22,IF(F2=2,22,IF(F2=3,19,IF(F2=4,15,IF(F2=5,9,0))))))+IF(G2=0,31,IF(G2=1,31,IF(G2=2,31,IF(G2=3,31,IF(G2=4,31,IF(G2=5,31,0))))))+IF(H2=0,22,IF(H2=1,22,IF(H2=2,22,IF(H2=3,19,IF(H2=4,15,IF(H2=5,9,0))))))</f>
        <v>105</v>
      </c>
      <c r="Q2" s="52">
        <f t="shared" ref="Q2:Q33" si="7">IF(E2=0,18,IF(E2=1,15,0))+IF(F2=0,6,IF(F2=1,6,0))+IF(G2=0,6,IF(G2=1,6,0))+IF(H2=0,6,IF(H2=1,6,0))</f>
        <v>36</v>
      </c>
      <c r="R2" s="55" t="s">
        <v>355</v>
      </c>
      <c r="S2" s="56">
        <f t="shared" ref="S2:S33" si="8">IF(F2=0,6,IF(F2=1,6,IF(F2=2,6,IF(F2=3,6,IF(F2=4,6,IF(F2=5,6,IF(F2=6,6,IF(F2=7,5,IF(F2=8,4,IF(F2=9,2,0))))))))))+IF(G2=0,6,IF(G2=1,6,IF(G2=2,6,IF(G2=3,6,IF(G2=4,6,IF(G2=5,6,IF(G2=6,6,IF(G2=7,5,IF(G2=8,4,IF(G2=9,2,0))))))))))+IF(H2=0,6,IF(H2=1,6,IF(H2=2,6,IF(H2=3,6,IF(H2=4,6,IF(H2=5,6,IF(H2=6,6,IF(H2=7,5,IF(H2=8,4,IF(H2=9,2,0))))))))))</f>
        <v>18</v>
      </c>
      <c r="T2" s="57" t="s">
        <v>312</v>
      </c>
      <c r="U2" s="48">
        <f t="shared" ref="U2:U33" si="9">IF(F2=10,0,1)+IF(G2=10,0,1)+IF(H2=10,0,1)</f>
        <v>3</v>
      </c>
      <c r="V2" s="49">
        <f t="shared" ref="V2:V33" si="10">IF(F2=0,38,IF(F2=1,38,IF(F2=2,38,IF(F2=3,38,IF(F2=4,38,IF(F2=5,38,IF(F2=6,38,IF(F2=7,34,IF(F2=8,28,IF(F2=9,16,0))))))))))+IF(G2=0,38,IF(G2=1,38,IF(G2=2,38,IF(G2=3,38,IF(G2=4,38,IF(G2=5,38,IF(G2=6,38,IF(G2=7,34,IF(G2=8,28,IF(G2=9,16,0))))))))))+IF(H2=0,38,IF(H2=1,38,IF(H2=2,38,IF(H2=3,38,IF(H2=4,38,IF(H2=5,38,IF(H2=6,38,IF(H2=7,34,IF(H2=8,28,IF(H2=9,16,0))))))))))</f>
        <v>114</v>
      </c>
      <c r="W2" s="50">
        <f t="shared" ref="W2:W33" si="11">IF(F2=0,21,IF(F2=1,21,IF(F2=2,21,IF(F2=3,19,IF(F2=4,15,IF(F2=5,9,0))))))+IF(G2=0,21,IF(G2=1,21,IF(G2=2,21,IF(G2=3,19,IF(G2=4,15,IF(G2=5,21,0))))))+IF(H2=0,21,IF(H2=1,21,IF(H2=2,21,IF(H2=3,19,IF(H2=4,15,IF(H2=5,9,0))))))</f>
        <v>63</v>
      </c>
      <c r="X2" s="52">
        <f t="shared" ref="X2:X33" si="12">IF(F2=0,3,IF(F2=1,3,0))+IF(G2=0,3,IF(G2=1,3,0))+IF(H2=0,3,IF(H2=1,3,0))</f>
        <v>9</v>
      </c>
      <c r="Y2" s="51" t="s">
        <v>339</v>
      </c>
      <c r="Z2" s="29">
        <f t="shared" ref="Z2:Z33" si="13">IF(E2=0,168,IF(E2=1,165,IF(E2=2,155,IF(E2=3,135,IF(E2=4,105,IF(E2=5,60,0))))))</f>
        <v>168</v>
      </c>
      <c r="AA2" s="5" t="s">
        <v>219</v>
      </c>
      <c r="AB2">
        <v>1</v>
      </c>
    </row>
    <row r="3" spans="1:30" x14ac:dyDescent="0.3">
      <c r="A3" s="19" t="s">
        <v>87</v>
      </c>
      <c r="B3" s="20">
        <v>5</v>
      </c>
      <c r="C3" s="20" t="s">
        <v>335</v>
      </c>
      <c r="D3" s="23" t="s">
        <v>195</v>
      </c>
      <c r="E3" s="9">
        <v>6</v>
      </c>
      <c r="F3" s="10">
        <v>8</v>
      </c>
      <c r="G3" s="11">
        <v>10</v>
      </c>
      <c r="H3" s="12">
        <v>9</v>
      </c>
      <c r="I3" s="10">
        <f t="shared" si="0"/>
        <v>0</v>
      </c>
      <c r="J3" s="11">
        <f t="shared" si="1"/>
        <v>0</v>
      </c>
      <c r="K3" s="11">
        <f t="shared" si="2"/>
        <v>0</v>
      </c>
      <c r="L3" s="13">
        <f t="shared" si="3"/>
        <v>0</v>
      </c>
      <c r="M3" s="14">
        <f t="shared" si="4"/>
        <v>0</v>
      </c>
      <c r="N3" s="6" t="s">
        <v>274</v>
      </c>
      <c r="O3" s="10">
        <f t="shared" si="5"/>
        <v>33</v>
      </c>
      <c r="P3" s="11">
        <f t="shared" si="6"/>
        <v>0</v>
      </c>
      <c r="Q3" s="13">
        <f t="shared" si="7"/>
        <v>0</v>
      </c>
      <c r="R3" s="35" t="s">
        <v>355</v>
      </c>
      <c r="S3" s="34">
        <f t="shared" si="8"/>
        <v>6</v>
      </c>
      <c r="T3" s="33" t="s">
        <v>306</v>
      </c>
      <c r="U3" s="9">
        <f t="shared" si="9"/>
        <v>2</v>
      </c>
      <c r="V3" s="10">
        <f t="shared" si="10"/>
        <v>44</v>
      </c>
      <c r="W3" s="11">
        <f t="shared" si="11"/>
        <v>0</v>
      </c>
      <c r="X3" s="13">
        <f t="shared" si="12"/>
        <v>0</v>
      </c>
      <c r="Y3" s="12" t="s">
        <v>339</v>
      </c>
      <c r="Z3" s="30">
        <f t="shared" si="13"/>
        <v>0</v>
      </c>
      <c r="AA3" s="13" t="s">
        <v>219</v>
      </c>
      <c r="AB3">
        <v>1</v>
      </c>
    </row>
    <row r="4" spans="1:30" ht="28.8" x14ac:dyDescent="0.3">
      <c r="A4" s="19" t="s">
        <v>100</v>
      </c>
      <c r="B4" s="20">
        <v>5</v>
      </c>
      <c r="C4" s="20" t="s">
        <v>335</v>
      </c>
      <c r="D4" s="18" t="s">
        <v>193</v>
      </c>
      <c r="E4" s="9">
        <v>5</v>
      </c>
      <c r="F4" s="10">
        <v>8</v>
      </c>
      <c r="G4" s="11">
        <v>8</v>
      </c>
      <c r="H4" s="12">
        <v>1</v>
      </c>
      <c r="I4" s="10">
        <f t="shared" si="0"/>
        <v>6</v>
      </c>
      <c r="J4" s="11">
        <f t="shared" si="1"/>
        <v>0</v>
      </c>
      <c r="K4" s="11">
        <f t="shared" si="2"/>
        <v>0</v>
      </c>
      <c r="L4" s="13">
        <f t="shared" si="3"/>
        <v>0</v>
      </c>
      <c r="M4" s="14">
        <f t="shared" si="4"/>
        <v>20</v>
      </c>
      <c r="N4" s="6" t="s">
        <v>277</v>
      </c>
      <c r="O4" s="10">
        <f t="shared" si="5"/>
        <v>97</v>
      </c>
      <c r="P4" s="11">
        <f t="shared" si="6"/>
        <v>22</v>
      </c>
      <c r="Q4" s="13">
        <f t="shared" si="7"/>
        <v>6</v>
      </c>
      <c r="R4" s="35" t="s">
        <v>351</v>
      </c>
      <c r="S4" s="34">
        <f t="shared" si="8"/>
        <v>14</v>
      </c>
      <c r="T4" s="33" t="s">
        <v>311</v>
      </c>
      <c r="U4" s="9">
        <f t="shared" si="9"/>
        <v>3</v>
      </c>
      <c r="V4" s="10">
        <f t="shared" si="10"/>
        <v>94</v>
      </c>
      <c r="W4" s="11">
        <f t="shared" si="11"/>
        <v>21</v>
      </c>
      <c r="X4" s="13">
        <f t="shared" si="12"/>
        <v>3</v>
      </c>
      <c r="Y4" s="12" t="s">
        <v>338</v>
      </c>
      <c r="Z4" s="30">
        <f t="shared" si="13"/>
        <v>60</v>
      </c>
      <c r="AA4" s="13" t="s">
        <v>221</v>
      </c>
      <c r="AB4">
        <v>1</v>
      </c>
    </row>
    <row r="5" spans="1:30" x14ac:dyDescent="0.3">
      <c r="A5" s="19" t="s">
        <v>102</v>
      </c>
      <c r="B5" s="20">
        <v>5</v>
      </c>
      <c r="C5" s="20" t="s">
        <v>335</v>
      </c>
      <c r="D5" s="17" t="s">
        <v>192</v>
      </c>
      <c r="E5" s="9">
        <v>0</v>
      </c>
      <c r="F5" s="10">
        <v>0</v>
      </c>
      <c r="G5" s="11">
        <v>0</v>
      </c>
      <c r="H5" s="12">
        <v>0</v>
      </c>
      <c r="I5" s="10">
        <f t="shared" si="0"/>
        <v>6</v>
      </c>
      <c r="J5" s="11">
        <f t="shared" si="1"/>
        <v>9</v>
      </c>
      <c r="K5" s="11">
        <f t="shared" si="2"/>
        <v>9</v>
      </c>
      <c r="L5" s="13">
        <f t="shared" si="3"/>
        <v>1</v>
      </c>
      <c r="M5" s="14">
        <f t="shared" si="4"/>
        <v>46</v>
      </c>
      <c r="N5" s="6" t="s">
        <v>273</v>
      </c>
      <c r="O5" s="10">
        <f t="shared" si="5"/>
        <v>129</v>
      </c>
      <c r="P5" s="11">
        <f t="shared" si="6"/>
        <v>105</v>
      </c>
      <c r="Q5" s="13">
        <f t="shared" si="7"/>
        <v>36</v>
      </c>
      <c r="R5" s="35" t="s">
        <v>348</v>
      </c>
      <c r="S5" s="34">
        <f t="shared" si="8"/>
        <v>18</v>
      </c>
      <c r="T5" s="33" t="s">
        <v>309</v>
      </c>
      <c r="U5" s="9">
        <f t="shared" si="9"/>
        <v>3</v>
      </c>
      <c r="V5" s="10">
        <f t="shared" si="10"/>
        <v>114</v>
      </c>
      <c r="W5" s="11">
        <f t="shared" si="11"/>
        <v>63</v>
      </c>
      <c r="X5" s="13">
        <f t="shared" si="12"/>
        <v>9</v>
      </c>
      <c r="Y5" s="12" t="s">
        <v>339</v>
      </c>
      <c r="Z5" s="30">
        <f t="shared" si="13"/>
        <v>168</v>
      </c>
      <c r="AA5" s="13" t="s">
        <v>218</v>
      </c>
      <c r="AB5">
        <v>1</v>
      </c>
    </row>
    <row r="6" spans="1:30" x14ac:dyDescent="0.3">
      <c r="A6" s="19" t="s">
        <v>112</v>
      </c>
      <c r="B6" s="20">
        <v>5</v>
      </c>
      <c r="C6" s="20" t="s">
        <v>335</v>
      </c>
      <c r="D6" s="23" t="s">
        <v>195</v>
      </c>
      <c r="E6" s="9">
        <v>0</v>
      </c>
      <c r="F6" s="10">
        <v>0</v>
      </c>
      <c r="G6" s="11">
        <v>0</v>
      </c>
      <c r="H6" s="12">
        <v>0</v>
      </c>
      <c r="I6" s="10">
        <f t="shared" si="0"/>
        <v>6</v>
      </c>
      <c r="J6" s="11">
        <f t="shared" si="1"/>
        <v>9</v>
      </c>
      <c r="K6" s="11">
        <f t="shared" si="2"/>
        <v>9</v>
      </c>
      <c r="L6" s="13">
        <f t="shared" si="3"/>
        <v>1</v>
      </c>
      <c r="M6" s="14">
        <f t="shared" si="4"/>
        <v>46</v>
      </c>
      <c r="N6" s="6" t="s">
        <v>274</v>
      </c>
      <c r="O6" s="10">
        <f t="shared" si="5"/>
        <v>129</v>
      </c>
      <c r="P6" s="11">
        <f t="shared" si="6"/>
        <v>105</v>
      </c>
      <c r="Q6" s="13">
        <f t="shared" si="7"/>
        <v>36</v>
      </c>
      <c r="R6" s="35" t="s">
        <v>356</v>
      </c>
      <c r="S6" s="34">
        <f t="shared" si="8"/>
        <v>18</v>
      </c>
      <c r="T6" s="33" t="s">
        <v>307</v>
      </c>
      <c r="U6" s="9">
        <f t="shared" si="9"/>
        <v>3</v>
      </c>
      <c r="V6" s="10">
        <f t="shared" si="10"/>
        <v>114</v>
      </c>
      <c r="W6" s="11">
        <f t="shared" si="11"/>
        <v>63</v>
      </c>
      <c r="X6" s="13">
        <f t="shared" si="12"/>
        <v>9</v>
      </c>
      <c r="Y6" s="12" t="s">
        <v>338</v>
      </c>
      <c r="Z6" s="30">
        <f t="shared" si="13"/>
        <v>168</v>
      </c>
      <c r="AA6" s="13" t="s">
        <v>216</v>
      </c>
      <c r="AB6">
        <v>1</v>
      </c>
    </row>
    <row r="7" spans="1:30" x14ac:dyDescent="0.3">
      <c r="A7" s="19" t="s">
        <v>171</v>
      </c>
      <c r="B7" s="20">
        <v>5</v>
      </c>
      <c r="C7" s="20" t="s">
        <v>335</v>
      </c>
      <c r="D7" s="16" t="s">
        <v>196</v>
      </c>
      <c r="E7" s="9">
        <v>6</v>
      </c>
      <c r="F7" s="10">
        <v>2</v>
      </c>
      <c r="G7" s="11">
        <v>9</v>
      </c>
      <c r="H7" s="12">
        <v>10</v>
      </c>
      <c r="I7" s="10">
        <f t="shared" si="0"/>
        <v>0</v>
      </c>
      <c r="J7" s="11">
        <f t="shared" si="1"/>
        <v>0</v>
      </c>
      <c r="K7" s="11">
        <f t="shared" si="2"/>
        <v>0</v>
      </c>
      <c r="L7" s="13">
        <f t="shared" si="3"/>
        <v>0</v>
      </c>
      <c r="M7" s="14">
        <f t="shared" si="4"/>
        <v>0</v>
      </c>
      <c r="N7" s="6" t="s">
        <v>275</v>
      </c>
      <c r="O7" s="10">
        <f t="shared" si="5"/>
        <v>43</v>
      </c>
      <c r="P7" s="11">
        <f t="shared" si="6"/>
        <v>22</v>
      </c>
      <c r="Q7" s="13">
        <f t="shared" si="7"/>
        <v>0</v>
      </c>
      <c r="R7" s="35" t="s">
        <v>355</v>
      </c>
      <c r="S7" s="34">
        <f t="shared" si="8"/>
        <v>8</v>
      </c>
      <c r="T7" s="33" t="s">
        <v>308</v>
      </c>
      <c r="U7" s="9">
        <f t="shared" si="9"/>
        <v>2</v>
      </c>
      <c r="V7" s="10">
        <f t="shared" si="10"/>
        <v>54</v>
      </c>
      <c r="W7" s="11">
        <f t="shared" si="11"/>
        <v>21</v>
      </c>
      <c r="X7" s="13">
        <f t="shared" si="12"/>
        <v>0</v>
      </c>
      <c r="Y7" s="12" t="s">
        <v>340</v>
      </c>
      <c r="Z7" s="30">
        <f t="shared" si="13"/>
        <v>0</v>
      </c>
      <c r="AA7" s="13" t="s">
        <v>215</v>
      </c>
      <c r="AB7">
        <v>1</v>
      </c>
    </row>
    <row r="8" spans="1:30" ht="28.8" x14ac:dyDescent="0.3">
      <c r="A8" s="19" t="s">
        <v>167</v>
      </c>
      <c r="B8" s="20">
        <v>5</v>
      </c>
      <c r="C8" s="20" t="s">
        <v>335</v>
      </c>
      <c r="D8" s="16" t="s">
        <v>196</v>
      </c>
      <c r="E8" s="9">
        <v>6</v>
      </c>
      <c r="F8" s="10">
        <v>1</v>
      </c>
      <c r="G8" s="11">
        <v>9</v>
      </c>
      <c r="H8" s="12">
        <v>1</v>
      </c>
      <c r="I8" s="10">
        <f t="shared" si="0"/>
        <v>0</v>
      </c>
      <c r="J8" s="11">
        <f t="shared" si="1"/>
        <v>0</v>
      </c>
      <c r="K8" s="11">
        <f t="shared" si="2"/>
        <v>0</v>
      </c>
      <c r="L8" s="13">
        <f t="shared" si="3"/>
        <v>0</v>
      </c>
      <c r="M8" s="14">
        <f t="shared" si="4"/>
        <v>0</v>
      </c>
      <c r="N8" s="6" t="s">
        <v>272</v>
      </c>
      <c r="O8" s="10">
        <f t="shared" si="5"/>
        <v>74</v>
      </c>
      <c r="P8" s="11">
        <f t="shared" si="6"/>
        <v>44</v>
      </c>
      <c r="Q8" s="13">
        <f t="shared" si="7"/>
        <v>12</v>
      </c>
      <c r="R8" s="35" t="s">
        <v>355</v>
      </c>
      <c r="S8" s="34">
        <f t="shared" si="8"/>
        <v>14</v>
      </c>
      <c r="T8" s="33" t="s">
        <v>304</v>
      </c>
      <c r="U8" s="9">
        <f t="shared" si="9"/>
        <v>3</v>
      </c>
      <c r="V8" s="10">
        <f t="shared" si="10"/>
        <v>92</v>
      </c>
      <c r="W8" s="11">
        <f t="shared" si="11"/>
        <v>42</v>
      </c>
      <c r="X8" s="13">
        <f t="shared" si="12"/>
        <v>6</v>
      </c>
      <c r="Y8" s="12" t="s">
        <v>340</v>
      </c>
      <c r="Z8" s="30">
        <f t="shared" si="13"/>
        <v>0</v>
      </c>
      <c r="AA8" s="13" t="s">
        <v>222</v>
      </c>
      <c r="AB8">
        <v>1</v>
      </c>
    </row>
    <row r="9" spans="1:30" ht="28.8" x14ac:dyDescent="0.3">
      <c r="A9" s="15" t="s">
        <v>94</v>
      </c>
      <c r="B9" s="7">
        <v>4</v>
      </c>
      <c r="C9" s="7" t="s">
        <v>335</v>
      </c>
      <c r="D9" s="17" t="s">
        <v>192</v>
      </c>
      <c r="E9" s="9">
        <v>3</v>
      </c>
      <c r="F9" s="10">
        <v>1</v>
      </c>
      <c r="G9" s="11">
        <v>1</v>
      </c>
      <c r="H9" s="12">
        <v>2</v>
      </c>
      <c r="I9" s="10">
        <f t="shared" si="0"/>
        <v>6</v>
      </c>
      <c r="J9" s="11">
        <f t="shared" si="1"/>
        <v>9</v>
      </c>
      <c r="K9" s="11">
        <f t="shared" si="2"/>
        <v>0</v>
      </c>
      <c r="L9" s="13">
        <f t="shared" si="3"/>
        <v>0</v>
      </c>
      <c r="M9" s="14">
        <f t="shared" si="4"/>
        <v>40</v>
      </c>
      <c r="N9" s="6" t="s">
        <v>276</v>
      </c>
      <c r="O9" s="10">
        <f t="shared" si="5"/>
        <v>129</v>
      </c>
      <c r="P9" s="11">
        <f t="shared" si="6"/>
        <v>93</v>
      </c>
      <c r="Q9" s="13">
        <f t="shared" si="7"/>
        <v>12</v>
      </c>
      <c r="R9" s="35" t="s">
        <v>356</v>
      </c>
      <c r="S9" s="34">
        <f t="shared" si="8"/>
        <v>18</v>
      </c>
      <c r="T9" s="33" t="s">
        <v>308</v>
      </c>
      <c r="U9" s="9">
        <f t="shared" si="9"/>
        <v>3</v>
      </c>
      <c r="V9" s="10">
        <f t="shared" si="10"/>
        <v>114</v>
      </c>
      <c r="W9" s="11">
        <f t="shared" si="11"/>
        <v>63</v>
      </c>
      <c r="X9" s="13">
        <f t="shared" si="12"/>
        <v>6</v>
      </c>
      <c r="Y9" s="12" t="s">
        <v>340</v>
      </c>
      <c r="Z9" s="30">
        <f t="shared" si="13"/>
        <v>135</v>
      </c>
      <c r="AA9" s="13" t="s">
        <v>216</v>
      </c>
      <c r="AB9" t="s">
        <v>373</v>
      </c>
    </row>
    <row r="10" spans="1:30" x14ac:dyDescent="0.3">
      <c r="A10" s="15" t="s">
        <v>109</v>
      </c>
      <c r="B10" s="7">
        <v>4</v>
      </c>
      <c r="C10" s="7" t="s">
        <v>335</v>
      </c>
      <c r="D10" s="21" t="s">
        <v>191</v>
      </c>
      <c r="E10" s="9">
        <v>1</v>
      </c>
      <c r="F10" s="10">
        <v>1</v>
      </c>
      <c r="G10" s="11">
        <v>1</v>
      </c>
      <c r="H10" s="12">
        <v>1</v>
      </c>
      <c r="I10" s="10">
        <f t="shared" si="0"/>
        <v>6</v>
      </c>
      <c r="J10" s="11">
        <f t="shared" si="1"/>
        <v>9</v>
      </c>
      <c r="K10" s="11">
        <f t="shared" si="2"/>
        <v>9</v>
      </c>
      <c r="L10" s="13">
        <f t="shared" si="3"/>
        <v>0</v>
      </c>
      <c r="M10" s="14">
        <f t="shared" si="4"/>
        <v>46</v>
      </c>
      <c r="N10" s="6" t="s">
        <v>264</v>
      </c>
      <c r="O10" s="10">
        <f t="shared" si="5"/>
        <v>129</v>
      </c>
      <c r="P10" s="11">
        <f t="shared" si="6"/>
        <v>105</v>
      </c>
      <c r="Q10" s="13">
        <f t="shared" si="7"/>
        <v>33</v>
      </c>
      <c r="R10" s="35" t="s">
        <v>356</v>
      </c>
      <c r="S10" s="34">
        <f t="shared" si="8"/>
        <v>18</v>
      </c>
      <c r="T10" s="33" t="s">
        <v>298</v>
      </c>
      <c r="U10" s="9">
        <f t="shared" si="9"/>
        <v>3</v>
      </c>
      <c r="V10" s="10">
        <f t="shared" si="10"/>
        <v>114</v>
      </c>
      <c r="W10" s="11">
        <f t="shared" si="11"/>
        <v>63</v>
      </c>
      <c r="X10" s="13">
        <f t="shared" si="12"/>
        <v>9</v>
      </c>
      <c r="Y10" s="12" t="s">
        <v>338</v>
      </c>
      <c r="Z10" s="30">
        <f t="shared" si="13"/>
        <v>165</v>
      </c>
      <c r="AA10" s="13" t="s">
        <v>215</v>
      </c>
      <c r="AB10">
        <v>1</v>
      </c>
    </row>
    <row r="11" spans="1:30" ht="28.8" x14ac:dyDescent="0.3">
      <c r="A11" s="15" t="s">
        <v>114</v>
      </c>
      <c r="B11" s="7">
        <v>4</v>
      </c>
      <c r="C11" s="7" t="s">
        <v>335</v>
      </c>
      <c r="D11" s="16" t="s">
        <v>196</v>
      </c>
      <c r="E11" s="9">
        <v>3</v>
      </c>
      <c r="F11" s="10">
        <v>1</v>
      </c>
      <c r="G11" s="11">
        <v>1</v>
      </c>
      <c r="H11" s="12">
        <v>1</v>
      </c>
      <c r="I11" s="10">
        <f t="shared" si="0"/>
        <v>6</v>
      </c>
      <c r="J11" s="11">
        <f t="shared" si="1"/>
        <v>9</v>
      </c>
      <c r="K11" s="11">
        <f t="shared" si="2"/>
        <v>0</v>
      </c>
      <c r="L11" s="13">
        <f t="shared" si="3"/>
        <v>0</v>
      </c>
      <c r="M11" s="14">
        <f t="shared" si="4"/>
        <v>40</v>
      </c>
      <c r="N11" s="6" t="s">
        <v>271</v>
      </c>
      <c r="O11" s="10">
        <f t="shared" si="5"/>
        <v>129</v>
      </c>
      <c r="P11" s="11">
        <f t="shared" si="6"/>
        <v>93</v>
      </c>
      <c r="Q11" s="13">
        <f t="shared" si="7"/>
        <v>18</v>
      </c>
      <c r="R11" s="35" t="s">
        <v>356</v>
      </c>
      <c r="S11" s="34">
        <f t="shared" si="8"/>
        <v>18</v>
      </c>
      <c r="T11" s="33" t="s">
        <v>305</v>
      </c>
      <c r="U11" s="9">
        <f t="shared" si="9"/>
        <v>3</v>
      </c>
      <c r="V11" s="10">
        <f t="shared" si="10"/>
        <v>114</v>
      </c>
      <c r="W11" s="11">
        <f t="shared" si="11"/>
        <v>63</v>
      </c>
      <c r="X11" s="13">
        <f t="shared" si="12"/>
        <v>9</v>
      </c>
      <c r="Y11" s="12" t="s">
        <v>339</v>
      </c>
      <c r="Z11" s="30">
        <f t="shared" si="13"/>
        <v>135</v>
      </c>
      <c r="AA11" s="13" t="s">
        <v>221</v>
      </c>
      <c r="AB11">
        <v>1</v>
      </c>
    </row>
    <row r="12" spans="1:30" x14ac:dyDescent="0.3">
      <c r="A12" s="15" t="s">
        <v>134</v>
      </c>
      <c r="B12" s="7">
        <v>4</v>
      </c>
      <c r="C12" s="7" t="s">
        <v>335</v>
      </c>
      <c r="D12" s="16" t="s">
        <v>196</v>
      </c>
      <c r="E12" s="9">
        <v>3</v>
      </c>
      <c r="F12" s="10">
        <v>2</v>
      </c>
      <c r="G12" s="11">
        <v>4</v>
      </c>
      <c r="H12" s="12">
        <v>4</v>
      </c>
      <c r="I12" s="10">
        <f t="shared" si="0"/>
        <v>6</v>
      </c>
      <c r="J12" s="11">
        <f t="shared" si="1"/>
        <v>9</v>
      </c>
      <c r="K12" s="11">
        <f t="shared" si="2"/>
        <v>0</v>
      </c>
      <c r="L12" s="13">
        <f t="shared" si="3"/>
        <v>0</v>
      </c>
      <c r="M12" s="14">
        <f t="shared" si="4"/>
        <v>40</v>
      </c>
      <c r="N12" s="6" t="s">
        <v>275</v>
      </c>
      <c r="O12" s="10">
        <f t="shared" si="5"/>
        <v>129</v>
      </c>
      <c r="P12" s="11">
        <f t="shared" si="6"/>
        <v>86</v>
      </c>
      <c r="Q12" s="13">
        <f t="shared" si="7"/>
        <v>0</v>
      </c>
      <c r="R12" s="35" t="s">
        <v>349</v>
      </c>
      <c r="S12" s="34">
        <f t="shared" si="8"/>
        <v>18</v>
      </c>
      <c r="T12" s="33" t="s">
        <v>309</v>
      </c>
      <c r="U12" s="9">
        <f t="shared" si="9"/>
        <v>3</v>
      </c>
      <c r="V12" s="10">
        <f t="shared" si="10"/>
        <v>114</v>
      </c>
      <c r="W12" s="11">
        <f t="shared" si="11"/>
        <v>51</v>
      </c>
      <c r="X12" s="13">
        <f t="shared" si="12"/>
        <v>0</v>
      </c>
      <c r="Y12" s="12" t="s">
        <v>339</v>
      </c>
      <c r="Z12" s="30">
        <f t="shared" si="13"/>
        <v>135</v>
      </c>
      <c r="AA12" s="13" t="s">
        <v>217</v>
      </c>
      <c r="AB12" t="s">
        <v>373</v>
      </c>
    </row>
    <row r="13" spans="1:30" x14ac:dyDescent="0.3">
      <c r="A13" s="15" t="s">
        <v>136</v>
      </c>
      <c r="B13" s="7">
        <v>4</v>
      </c>
      <c r="C13" s="7" t="s">
        <v>335</v>
      </c>
      <c r="D13" s="22" t="s">
        <v>197</v>
      </c>
      <c r="E13" s="9">
        <v>3</v>
      </c>
      <c r="F13" s="10">
        <v>2</v>
      </c>
      <c r="G13" s="11">
        <v>4</v>
      </c>
      <c r="H13" s="12">
        <v>4</v>
      </c>
      <c r="I13" s="10">
        <f t="shared" si="0"/>
        <v>6</v>
      </c>
      <c r="J13" s="11">
        <f t="shared" si="1"/>
        <v>9</v>
      </c>
      <c r="K13" s="11">
        <f t="shared" si="2"/>
        <v>0</v>
      </c>
      <c r="L13" s="13">
        <f t="shared" si="3"/>
        <v>0</v>
      </c>
      <c r="M13" s="14">
        <f t="shared" si="4"/>
        <v>40</v>
      </c>
      <c r="N13" s="6" t="s">
        <v>278</v>
      </c>
      <c r="O13" s="10">
        <f t="shared" si="5"/>
        <v>129</v>
      </c>
      <c r="P13" s="11">
        <f t="shared" si="6"/>
        <v>86</v>
      </c>
      <c r="Q13" s="13">
        <f t="shared" si="7"/>
        <v>0</v>
      </c>
      <c r="R13" s="35" t="s">
        <v>354</v>
      </c>
      <c r="S13" s="34">
        <f t="shared" si="8"/>
        <v>18</v>
      </c>
      <c r="T13" s="33" t="s">
        <v>310</v>
      </c>
      <c r="U13" s="9">
        <f t="shared" si="9"/>
        <v>3</v>
      </c>
      <c r="V13" s="10">
        <f t="shared" si="10"/>
        <v>114</v>
      </c>
      <c r="W13" s="11">
        <f t="shared" si="11"/>
        <v>51</v>
      </c>
      <c r="X13" s="13">
        <f t="shared" si="12"/>
        <v>0</v>
      </c>
      <c r="Y13" s="12" t="s">
        <v>340</v>
      </c>
      <c r="Z13" s="30">
        <f t="shared" si="13"/>
        <v>135</v>
      </c>
      <c r="AA13" s="13" t="s">
        <v>220</v>
      </c>
      <c r="AB13" t="s">
        <v>373</v>
      </c>
    </row>
    <row r="14" spans="1:30" ht="28.8" x14ac:dyDescent="0.3">
      <c r="A14" s="15" t="s">
        <v>147</v>
      </c>
      <c r="B14" s="7">
        <v>4</v>
      </c>
      <c r="C14" s="7" t="s">
        <v>335</v>
      </c>
      <c r="D14" s="18" t="s">
        <v>193</v>
      </c>
      <c r="E14" s="9">
        <v>6</v>
      </c>
      <c r="F14" s="10">
        <v>2</v>
      </c>
      <c r="G14" s="11">
        <v>9</v>
      </c>
      <c r="H14" s="12">
        <v>4</v>
      </c>
      <c r="I14" s="10">
        <f t="shared" si="0"/>
        <v>0</v>
      </c>
      <c r="J14" s="11">
        <f t="shared" si="1"/>
        <v>0</v>
      </c>
      <c r="K14" s="11">
        <f t="shared" si="2"/>
        <v>0</v>
      </c>
      <c r="L14" s="13">
        <f t="shared" si="3"/>
        <v>0</v>
      </c>
      <c r="M14" s="14">
        <f t="shared" si="4"/>
        <v>0</v>
      </c>
      <c r="N14" s="6" t="s">
        <v>277</v>
      </c>
      <c r="O14" s="10">
        <f t="shared" si="5"/>
        <v>74</v>
      </c>
      <c r="P14" s="11">
        <f t="shared" si="6"/>
        <v>37</v>
      </c>
      <c r="Q14" s="13">
        <f t="shared" si="7"/>
        <v>0</v>
      </c>
      <c r="R14" s="35" t="s">
        <v>352</v>
      </c>
      <c r="S14" s="34">
        <f t="shared" si="8"/>
        <v>14</v>
      </c>
      <c r="T14" s="33" t="s">
        <v>307</v>
      </c>
      <c r="U14" s="9">
        <f t="shared" si="9"/>
        <v>3</v>
      </c>
      <c r="V14" s="10">
        <f t="shared" si="10"/>
        <v>92</v>
      </c>
      <c r="W14" s="11">
        <f t="shared" si="11"/>
        <v>36</v>
      </c>
      <c r="X14" s="13">
        <f t="shared" si="12"/>
        <v>0</v>
      </c>
      <c r="Y14" s="12" t="s">
        <v>338</v>
      </c>
      <c r="Z14" s="30">
        <f t="shared" si="13"/>
        <v>0</v>
      </c>
      <c r="AA14" s="13" t="s">
        <v>214</v>
      </c>
      <c r="AB14">
        <v>1</v>
      </c>
    </row>
    <row r="15" spans="1:30" ht="28.8" x14ac:dyDescent="0.3">
      <c r="A15" s="15" t="s">
        <v>152</v>
      </c>
      <c r="B15" s="7">
        <v>4</v>
      </c>
      <c r="C15" s="7" t="s">
        <v>335</v>
      </c>
      <c r="D15" s="22" t="s">
        <v>197</v>
      </c>
      <c r="E15" s="9">
        <v>0</v>
      </c>
      <c r="F15" s="10">
        <v>0</v>
      </c>
      <c r="G15" s="11">
        <v>0</v>
      </c>
      <c r="H15" s="12">
        <v>0</v>
      </c>
      <c r="I15" s="10">
        <f t="shared" si="0"/>
        <v>6</v>
      </c>
      <c r="J15" s="11">
        <f t="shared" si="1"/>
        <v>9</v>
      </c>
      <c r="K15" s="11">
        <f t="shared" si="2"/>
        <v>9</v>
      </c>
      <c r="L15" s="13">
        <f t="shared" si="3"/>
        <v>1</v>
      </c>
      <c r="M15" s="14">
        <f t="shared" si="4"/>
        <v>46</v>
      </c>
      <c r="N15" s="6" t="s">
        <v>271</v>
      </c>
      <c r="O15" s="10">
        <f t="shared" si="5"/>
        <v>129</v>
      </c>
      <c r="P15" s="11">
        <f t="shared" si="6"/>
        <v>105</v>
      </c>
      <c r="Q15" s="13">
        <f t="shared" si="7"/>
        <v>36</v>
      </c>
      <c r="R15" s="35" t="s">
        <v>352</v>
      </c>
      <c r="S15" s="34">
        <f t="shared" si="8"/>
        <v>18</v>
      </c>
      <c r="T15" s="33" t="s">
        <v>304</v>
      </c>
      <c r="U15" s="9">
        <f t="shared" si="9"/>
        <v>3</v>
      </c>
      <c r="V15" s="10">
        <f t="shared" si="10"/>
        <v>114</v>
      </c>
      <c r="W15" s="11">
        <f t="shared" si="11"/>
        <v>63</v>
      </c>
      <c r="X15" s="13">
        <f t="shared" si="12"/>
        <v>9</v>
      </c>
      <c r="Y15" s="12" t="s">
        <v>338</v>
      </c>
      <c r="Z15" s="30">
        <f t="shared" si="13"/>
        <v>168</v>
      </c>
      <c r="AA15" s="13" t="s">
        <v>218</v>
      </c>
      <c r="AB15" t="s">
        <v>373</v>
      </c>
    </row>
    <row r="16" spans="1:30" ht="28.8" x14ac:dyDescent="0.3">
      <c r="A16" s="19" t="s">
        <v>88</v>
      </c>
      <c r="B16" s="20">
        <v>5</v>
      </c>
      <c r="C16" s="20" t="s">
        <v>336</v>
      </c>
      <c r="D16" s="21" t="s">
        <v>191</v>
      </c>
      <c r="E16" s="9">
        <v>0</v>
      </c>
      <c r="F16" s="10">
        <v>0</v>
      </c>
      <c r="G16" s="11">
        <v>0</v>
      </c>
      <c r="H16" s="12">
        <v>0</v>
      </c>
      <c r="I16" s="10">
        <f t="shared" si="0"/>
        <v>6</v>
      </c>
      <c r="J16" s="11">
        <f t="shared" si="1"/>
        <v>9</v>
      </c>
      <c r="K16" s="11">
        <f t="shared" si="2"/>
        <v>9</v>
      </c>
      <c r="L16" s="13">
        <f t="shared" si="3"/>
        <v>1</v>
      </c>
      <c r="M16" s="14">
        <f t="shared" si="4"/>
        <v>46</v>
      </c>
      <c r="N16" s="6" t="s">
        <v>264</v>
      </c>
      <c r="O16" s="10">
        <f t="shared" si="5"/>
        <v>129</v>
      </c>
      <c r="P16" s="11">
        <f t="shared" si="6"/>
        <v>105</v>
      </c>
      <c r="Q16" s="13">
        <f t="shared" si="7"/>
        <v>36</v>
      </c>
      <c r="R16" s="35" t="s">
        <v>357</v>
      </c>
      <c r="S16" s="34">
        <f t="shared" si="8"/>
        <v>18</v>
      </c>
      <c r="T16" s="33" t="s">
        <v>300</v>
      </c>
      <c r="U16" s="9">
        <f t="shared" si="9"/>
        <v>3</v>
      </c>
      <c r="V16" s="10">
        <f t="shared" si="10"/>
        <v>114</v>
      </c>
      <c r="W16" s="11">
        <f t="shared" si="11"/>
        <v>63</v>
      </c>
      <c r="X16" s="13">
        <f t="shared" si="12"/>
        <v>9</v>
      </c>
      <c r="Y16" s="12" t="s">
        <v>330</v>
      </c>
      <c r="Z16" s="30">
        <f t="shared" si="13"/>
        <v>168</v>
      </c>
      <c r="AA16" s="13" t="s">
        <v>208</v>
      </c>
      <c r="AB16">
        <v>1</v>
      </c>
    </row>
    <row r="17" spans="1:28" x14ac:dyDescent="0.3">
      <c r="A17" s="19" t="s">
        <v>93</v>
      </c>
      <c r="B17" s="20">
        <v>5</v>
      </c>
      <c r="C17" s="20" t="s">
        <v>336</v>
      </c>
      <c r="D17" s="8" t="s">
        <v>194</v>
      </c>
      <c r="E17" s="9">
        <v>0</v>
      </c>
      <c r="F17" s="10">
        <v>0</v>
      </c>
      <c r="G17" s="11">
        <v>0</v>
      </c>
      <c r="H17" s="12">
        <v>0</v>
      </c>
      <c r="I17" s="10">
        <f t="shared" si="0"/>
        <v>6</v>
      </c>
      <c r="J17" s="11">
        <f t="shared" si="1"/>
        <v>9</v>
      </c>
      <c r="K17" s="11">
        <f t="shared" si="2"/>
        <v>9</v>
      </c>
      <c r="L17" s="13">
        <f t="shared" si="3"/>
        <v>1</v>
      </c>
      <c r="M17" s="14">
        <f t="shared" si="4"/>
        <v>46</v>
      </c>
      <c r="N17" s="6" t="s">
        <v>285</v>
      </c>
      <c r="O17" s="10">
        <f t="shared" si="5"/>
        <v>129</v>
      </c>
      <c r="P17" s="11">
        <f t="shared" si="6"/>
        <v>105</v>
      </c>
      <c r="Q17" s="13">
        <f t="shared" si="7"/>
        <v>36</v>
      </c>
      <c r="R17" s="35" t="s">
        <v>354</v>
      </c>
      <c r="S17" s="34">
        <f t="shared" si="8"/>
        <v>18</v>
      </c>
      <c r="T17" s="33" t="s">
        <v>313</v>
      </c>
      <c r="U17" s="9">
        <f t="shared" si="9"/>
        <v>3</v>
      </c>
      <c r="V17" s="10">
        <f t="shared" si="10"/>
        <v>114</v>
      </c>
      <c r="W17" s="11">
        <f t="shared" si="11"/>
        <v>63</v>
      </c>
      <c r="X17" s="13">
        <f t="shared" si="12"/>
        <v>9</v>
      </c>
      <c r="Y17" s="12" t="s">
        <v>329</v>
      </c>
      <c r="Z17" s="30">
        <f t="shared" si="13"/>
        <v>168</v>
      </c>
      <c r="AA17" s="13" t="s">
        <v>207</v>
      </c>
      <c r="AB17">
        <v>1</v>
      </c>
    </row>
    <row r="18" spans="1:28" x14ac:dyDescent="0.3">
      <c r="A18" s="19" t="s">
        <v>101</v>
      </c>
      <c r="B18" s="20">
        <v>5</v>
      </c>
      <c r="C18" s="20" t="s">
        <v>336</v>
      </c>
      <c r="D18" s="23" t="s">
        <v>195</v>
      </c>
      <c r="E18" s="9">
        <v>5</v>
      </c>
      <c r="F18" s="10">
        <v>1</v>
      </c>
      <c r="G18" s="11">
        <v>7</v>
      </c>
      <c r="H18" s="12">
        <v>8</v>
      </c>
      <c r="I18" s="10">
        <f t="shared" si="0"/>
        <v>6</v>
      </c>
      <c r="J18" s="11">
        <f t="shared" si="1"/>
        <v>0</v>
      </c>
      <c r="K18" s="11">
        <f t="shared" si="2"/>
        <v>0</v>
      </c>
      <c r="L18" s="13">
        <f t="shared" si="3"/>
        <v>0</v>
      </c>
      <c r="M18" s="14">
        <f t="shared" si="4"/>
        <v>20</v>
      </c>
      <c r="N18" s="6" t="s">
        <v>271</v>
      </c>
      <c r="O18" s="10">
        <f t="shared" si="5"/>
        <v>103</v>
      </c>
      <c r="P18" s="11">
        <f t="shared" si="6"/>
        <v>22</v>
      </c>
      <c r="Q18" s="13">
        <f t="shared" si="7"/>
        <v>6</v>
      </c>
      <c r="R18" s="35" t="s">
        <v>353</v>
      </c>
      <c r="S18" s="34">
        <f t="shared" si="8"/>
        <v>15</v>
      </c>
      <c r="T18" s="33" t="s">
        <v>310</v>
      </c>
      <c r="U18" s="9">
        <f t="shared" si="9"/>
        <v>3</v>
      </c>
      <c r="V18" s="10">
        <f t="shared" si="10"/>
        <v>100</v>
      </c>
      <c r="W18" s="11">
        <f t="shared" si="11"/>
        <v>21</v>
      </c>
      <c r="X18" s="13">
        <f t="shared" si="12"/>
        <v>3</v>
      </c>
      <c r="Y18" s="12" t="s">
        <v>328</v>
      </c>
      <c r="Z18" s="30">
        <f t="shared" si="13"/>
        <v>60</v>
      </c>
      <c r="AA18" s="13" t="s">
        <v>212</v>
      </c>
      <c r="AB18">
        <v>1</v>
      </c>
    </row>
    <row r="19" spans="1:28" x14ac:dyDescent="0.3">
      <c r="A19" s="19" t="s">
        <v>115</v>
      </c>
      <c r="B19" s="20">
        <v>5</v>
      </c>
      <c r="C19" s="20" t="s">
        <v>336</v>
      </c>
      <c r="D19" s="16" t="s">
        <v>196</v>
      </c>
      <c r="E19" s="9">
        <v>3</v>
      </c>
      <c r="F19" s="10">
        <v>4</v>
      </c>
      <c r="G19" s="11">
        <v>4</v>
      </c>
      <c r="H19" s="12">
        <v>3</v>
      </c>
      <c r="I19" s="10">
        <f t="shared" si="0"/>
        <v>6</v>
      </c>
      <c r="J19" s="11">
        <f t="shared" si="1"/>
        <v>9</v>
      </c>
      <c r="K19" s="11">
        <f t="shared" si="2"/>
        <v>0</v>
      </c>
      <c r="L19" s="13">
        <f t="shared" si="3"/>
        <v>0</v>
      </c>
      <c r="M19" s="14">
        <f t="shared" si="4"/>
        <v>40</v>
      </c>
      <c r="N19" s="6" t="s">
        <v>284</v>
      </c>
      <c r="O19" s="10">
        <f t="shared" si="5"/>
        <v>129</v>
      </c>
      <c r="P19" s="11">
        <f t="shared" si="6"/>
        <v>83</v>
      </c>
      <c r="Q19" s="13">
        <f t="shared" si="7"/>
        <v>0</v>
      </c>
      <c r="R19" s="35" t="s">
        <v>354</v>
      </c>
      <c r="S19" s="34">
        <f t="shared" si="8"/>
        <v>18</v>
      </c>
      <c r="T19" s="33" t="s">
        <v>320</v>
      </c>
      <c r="U19" s="9">
        <f t="shared" si="9"/>
        <v>3</v>
      </c>
      <c r="V19" s="10">
        <f t="shared" si="10"/>
        <v>114</v>
      </c>
      <c r="W19" s="11">
        <f t="shared" si="11"/>
        <v>49</v>
      </c>
      <c r="X19" s="13">
        <f t="shared" si="12"/>
        <v>0</v>
      </c>
      <c r="Y19" s="12" t="s">
        <v>328</v>
      </c>
      <c r="Z19" s="30">
        <f t="shared" si="13"/>
        <v>135</v>
      </c>
      <c r="AA19" s="13" t="s">
        <v>211</v>
      </c>
      <c r="AB19">
        <v>1</v>
      </c>
    </row>
    <row r="20" spans="1:28" ht="28.8" x14ac:dyDescent="0.3">
      <c r="A20" s="19" t="s">
        <v>142</v>
      </c>
      <c r="B20" s="20">
        <v>5</v>
      </c>
      <c r="C20" s="20" t="s">
        <v>336</v>
      </c>
      <c r="D20" s="22" t="s">
        <v>197</v>
      </c>
      <c r="E20" s="9">
        <v>0</v>
      </c>
      <c r="F20" s="10">
        <v>0</v>
      </c>
      <c r="G20" s="11">
        <v>0</v>
      </c>
      <c r="H20" s="12">
        <v>0</v>
      </c>
      <c r="I20" s="10">
        <f t="shared" si="0"/>
        <v>6</v>
      </c>
      <c r="J20" s="11">
        <f t="shared" si="1"/>
        <v>9</v>
      </c>
      <c r="K20" s="11">
        <f t="shared" si="2"/>
        <v>9</v>
      </c>
      <c r="L20" s="13">
        <f t="shared" si="3"/>
        <v>1</v>
      </c>
      <c r="M20" s="14">
        <f t="shared" si="4"/>
        <v>46</v>
      </c>
      <c r="N20" s="6" t="s">
        <v>257</v>
      </c>
      <c r="O20" s="10">
        <f t="shared" si="5"/>
        <v>129</v>
      </c>
      <c r="P20" s="11">
        <f t="shared" si="6"/>
        <v>105</v>
      </c>
      <c r="Q20" s="13">
        <f t="shared" si="7"/>
        <v>36</v>
      </c>
      <c r="R20" s="35" t="s">
        <v>351</v>
      </c>
      <c r="S20" s="34">
        <f t="shared" si="8"/>
        <v>18</v>
      </c>
      <c r="T20" s="33" t="s">
        <v>296</v>
      </c>
      <c r="U20" s="9">
        <f t="shared" si="9"/>
        <v>3</v>
      </c>
      <c r="V20" s="10">
        <f t="shared" si="10"/>
        <v>114</v>
      </c>
      <c r="W20" s="11">
        <f t="shared" si="11"/>
        <v>63</v>
      </c>
      <c r="X20" s="13">
        <f t="shared" si="12"/>
        <v>9</v>
      </c>
      <c r="Y20" s="12" t="s">
        <v>330</v>
      </c>
      <c r="Z20" s="30">
        <f t="shared" si="13"/>
        <v>168</v>
      </c>
      <c r="AA20" s="13" t="s">
        <v>232</v>
      </c>
      <c r="AB20">
        <v>1</v>
      </c>
    </row>
    <row r="21" spans="1:28" x14ac:dyDescent="0.3">
      <c r="A21" s="19" t="s">
        <v>143</v>
      </c>
      <c r="B21" s="20">
        <v>5</v>
      </c>
      <c r="C21" s="20" t="s">
        <v>336</v>
      </c>
      <c r="D21" s="22" t="s">
        <v>197</v>
      </c>
      <c r="E21" s="9">
        <v>0</v>
      </c>
      <c r="F21" s="10">
        <v>0</v>
      </c>
      <c r="G21" s="11">
        <v>0</v>
      </c>
      <c r="H21" s="12">
        <v>0</v>
      </c>
      <c r="I21" s="10">
        <f t="shared" si="0"/>
        <v>6</v>
      </c>
      <c r="J21" s="11">
        <f t="shared" si="1"/>
        <v>9</v>
      </c>
      <c r="K21" s="11">
        <f t="shared" si="2"/>
        <v>9</v>
      </c>
      <c r="L21" s="13">
        <f t="shared" si="3"/>
        <v>1</v>
      </c>
      <c r="M21" s="14">
        <f t="shared" si="4"/>
        <v>46</v>
      </c>
      <c r="N21" s="6" t="s">
        <v>280</v>
      </c>
      <c r="O21" s="10">
        <f t="shared" si="5"/>
        <v>129</v>
      </c>
      <c r="P21" s="11">
        <f t="shared" si="6"/>
        <v>105</v>
      </c>
      <c r="Q21" s="13">
        <f t="shared" si="7"/>
        <v>36</v>
      </c>
      <c r="R21" s="35" t="s">
        <v>348</v>
      </c>
      <c r="S21" s="34">
        <f t="shared" si="8"/>
        <v>18</v>
      </c>
      <c r="T21" s="33" t="s">
        <v>313</v>
      </c>
      <c r="U21" s="9">
        <f t="shared" si="9"/>
        <v>3</v>
      </c>
      <c r="V21" s="10">
        <f t="shared" si="10"/>
        <v>114</v>
      </c>
      <c r="W21" s="11">
        <f t="shared" si="11"/>
        <v>63</v>
      </c>
      <c r="X21" s="13">
        <f t="shared" si="12"/>
        <v>9</v>
      </c>
      <c r="Y21" s="12" t="s">
        <v>328</v>
      </c>
      <c r="Z21" s="30">
        <f t="shared" si="13"/>
        <v>168</v>
      </c>
      <c r="AA21" s="13" t="s">
        <v>207</v>
      </c>
      <c r="AB21">
        <v>1</v>
      </c>
    </row>
    <row r="22" spans="1:28" x14ac:dyDescent="0.3">
      <c r="A22" s="19" t="s">
        <v>144</v>
      </c>
      <c r="B22" s="20">
        <v>5</v>
      </c>
      <c r="C22" s="20" t="s">
        <v>336</v>
      </c>
      <c r="D22" s="23" t="s">
        <v>195</v>
      </c>
      <c r="E22" s="9">
        <v>6</v>
      </c>
      <c r="F22" s="10">
        <v>6</v>
      </c>
      <c r="G22" s="11">
        <v>7</v>
      </c>
      <c r="H22" s="12">
        <v>8</v>
      </c>
      <c r="I22" s="10">
        <f t="shared" si="0"/>
        <v>0</v>
      </c>
      <c r="J22" s="11">
        <f t="shared" si="1"/>
        <v>0</v>
      </c>
      <c r="K22" s="11">
        <f t="shared" si="2"/>
        <v>0</v>
      </c>
      <c r="L22" s="13">
        <f t="shared" si="3"/>
        <v>0</v>
      </c>
      <c r="M22" s="14">
        <f t="shared" si="4"/>
        <v>0</v>
      </c>
      <c r="N22" s="6" t="s">
        <v>282</v>
      </c>
      <c r="O22" s="10">
        <f t="shared" si="5"/>
        <v>79</v>
      </c>
      <c r="P22" s="11">
        <f t="shared" si="6"/>
        <v>0</v>
      </c>
      <c r="Q22" s="13">
        <f t="shared" si="7"/>
        <v>0</v>
      </c>
      <c r="R22" s="35" t="s">
        <v>353</v>
      </c>
      <c r="S22" s="34">
        <f t="shared" si="8"/>
        <v>15</v>
      </c>
      <c r="T22" s="33" t="s">
        <v>314</v>
      </c>
      <c r="U22" s="9">
        <f t="shared" si="9"/>
        <v>3</v>
      </c>
      <c r="V22" s="10">
        <f t="shared" si="10"/>
        <v>100</v>
      </c>
      <c r="W22" s="11">
        <f t="shared" si="11"/>
        <v>0</v>
      </c>
      <c r="X22" s="13">
        <f t="shared" si="12"/>
        <v>0</v>
      </c>
      <c r="Y22" s="12" t="s">
        <v>324</v>
      </c>
      <c r="Z22" s="30">
        <f t="shared" si="13"/>
        <v>0</v>
      </c>
      <c r="AA22" s="13" t="s">
        <v>212</v>
      </c>
      <c r="AB22">
        <v>1</v>
      </c>
    </row>
    <row r="23" spans="1:28" x14ac:dyDescent="0.3">
      <c r="A23" s="19" t="s">
        <v>151</v>
      </c>
      <c r="B23" s="20">
        <v>5</v>
      </c>
      <c r="C23" s="20" t="s">
        <v>336</v>
      </c>
      <c r="D23" s="18" t="s">
        <v>193</v>
      </c>
      <c r="E23" s="9">
        <v>0</v>
      </c>
      <c r="F23" s="10">
        <v>0</v>
      </c>
      <c r="G23" s="11">
        <v>0</v>
      </c>
      <c r="H23" s="12">
        <v>0</v>
      </c>
      <c r="I23" s="10">
        <f t="shared" si="0"/>
        <v>6</v>
      </c>
      <c r="J23" s="11">
        <f t="shared" si="1"/>
        <v>9</v>
      </c>
      <c r="K23" s="11">
        <f t="shared" si="2"/>
        <v>9</v>
      </c>
      <c r="L23" s="13">
        <f t="shared" si="3"/>
        <v>1</v>
      </c>
      <c r="M23" s="14">
        <f t="shared" si="4"/>
        <v>46</v>
      </c>
      <c r="N23" s="6" t="s">
        <v>280</v>
      </c>
      <c r="O23" s="10">
        <f t="shared" si="5"/>
        <v>129</v>
      </c>
      <c r="P23" s="11">
        <f t="shared" si="6"/>
        <v>105</v>
      </c>
      <c r="Q23" s="13">
        <f t="shared" si="7"/>
        <v>36</v>
      </c>
      <c r="R23" s="35" t="s">
        <v>354</v>
      </c>
      <c r="S23" s="34">
        <f t="shared" si="8"/>
        <v>18</v>
      </c>
      <c r="T23" s="33" t="s">
        <v>314</v>
      </c>
      <c r="U23" s="9">
        <f t="shared" si="9"/>
        <v>3</v>
      </c>
      <c r="V23" s="10">
        <f t="shared" si="10"/>
        <v>114</v>
      </c>
      <c r="W23" s="11">
        <f t="shared" si="11"/>
        <v>63</v>
      </c>
      <c r="X23" s="13">
        <f t="shared" si="12"/>
        <v>9</v>
      </c>
      <c r="Y23" s="12" t="s">
        <v>329</v>
      </c>
      <c r="Z23" s="30">
        <f t="shared" si="13"/>
        <v>168</v>
      </c>
      <c r="AA23" s="13" t="s">
        <v>206</v>
      </c>
      <c r="AB23">
        <v>1</v>
      </c>
    </row>
    <row r="24" spans="1:28" ht="28.8" x14ac:dyDescent="0.3">
      <c r="A24" s="19" t="s">
        <v>153</v>
      </c>
      <c r="B24" s="20">
        <v>5</v>
      </c>
      <c r="C24" s="20" t="s">
        <v>336</v>
      </c>
      <c r="D24" s="8" t="s">
        <v>194</v>
      </c>
      <c r="E24" s="9">
        <v>4</v>
      </c>
      <c r="F24" s="10">
        <v>6</v>
      </c>
      <c r="G24" s="11">
        <v>4</v>
      </c>
      <c r="H24" s="12">
        <v>2</v>
      </c>
      <c r="I24" s="10">
        <f t="shared" si="0"/>
        <v>6</v>
      </c>
      <c r="J24" s="11">
        <f t="shared" si="1"/>
        <v>6</v>
      </c>
      <c r="K24" s="11">
        <f t="shared" si="2"/>
        <v>0</v>
      </c>
      <c r="L24" s="13">
        <f t="shared" si="3"/>
        <v>0</v>
      </c>
      <c r="M24" s="14">
        <f t="shared" si="4"/>
        <v>32</v>
      </c>
      <c r="N24" s="6" t="s">
        <v>285</v>
      </c>
      <c r="O24" s="10">
        <f t="shared" si="5"/>
        <v>129</v>
      </c>
      <c r="P24" s="11">
        <f t="shared" si="6"/>
        <v>53</v>
      </c>
      <c r="Q24" s="13">
        <f t="shared" si="7"/>
        <v>0</v>
      </c>
      <c r="R24" s="35" t="s">
        <v>351</v>
      </c>
      <c r="S24" s="34">
        <f t="shared" si="8"/>
        <v>18</v>
      </c>
      <c r="T24" s="33" t="s">
        <v>321</v>
      </c>
      <c r="U24" s="9">
        <f t="shared" si="9"/>
        <v>3</v>
      </c>
      <c r="V24" s="10">
        <f t="shared" si="10"/>
        <v>114</v>
      </c>
      <c r="W24" s="11">
        <f t="shared" si="11"/>
        <v>36</v>
      </c>
      <c r="X24" s="13">
        <f t="shared" si="12"/>
        <v>0</v>
      </c>
      <c r="Y24" s="12" t="s">
        <v>328</v>
      </c>
      <c r="Z24" s="30">
        <f t="shared" si="13"/>
        <v>105</v>
      </c>
      <c r="AA24" s="13" t="s">
        <v>208</v>
      </c>
      <c r="AB24" t="s">
        <v>373</v>
      </c>
    </row>
    <row r="25" spans="1:28" x14ac:dyDescent="0.3">
      <c r="A25" s="19" t="s">
        <v>154</v>
      </c>
      <c r="B25" s="20">
        <v>5</v>
      </c>
      <c r="C25" s="20" t="s">
        <v>336</v>
      </c>
      <c r="D25" s="17" t="s">
        <v>192</v>
      </c>
      <c r="E25" s="9">
        <v>6</v>
      </c>
      <c r="F25" s="10">
        <v>2</v>
      </c>
      <c r="G25" s="11">
        <v>9</v>
      </c>
      <c r="H25" s="12">
        <v>5</v>
      </c>
      <c r="I25" s="10">
        <f t="shared" si="0"/>
        <v>0</v>
      </c>
      <c r="J25" s="11">
        <f t="shared" si="1"/>
        <v>0</v>
      </c>
      <c r="K25" s="11">
        <f t="shared" si="2"/>
        <v>0</v>
      </c>
      <c r="L25" s="13">
        <f t="shared" si="3"/>
        <v>0</v>
      </c>
      <c r="M25" s="14">
        <f t="shared" si="4"/>
        <v>0</v>
      </c>
      <c r="N25" s="6" t="s">
        <v>283</v>
      </c>
      <c r="O25" s="10">
        <f t="shared" si="5"/>
        <v>74</v>
      </c>
      <c r="P25" s="11">
        <f t="shared" si="6"/>
        <v>31</v>
      </c>
      <c r="Q25" s="13">
        <f t="shared" si="7"/>
        <v>0</v>
      </c>
      <c r="R25" s="35" t="s">
        <v>348</v>
      </c>
      <c r="S25" s="34">
        <f t="shared" si="8"/>
        <v>14</v>
      </c>
      <c r="T25" s="33" t="s">
        <v>315</v>
      </c>
      <c r="U25" s="9">
        <f t="shared" si="9"/>
        <v>3</v>
      </c>
      <c r="V25" s="10">
        <f t="shared" si="10"/>
        <v>92</v>
      </c>
      <c r="W25" s="11">
        <f t="shared" si="11"/>
        <v>30</v>
      </c>
      <c r="X25" s="13">
        <f t="shared" si="12"/>
        <v>0</v>
      </c>
      <c r="Y25" s="12" t="s">
        <v>330</v>
      </c>
      <c r="Z25" s="30">
        <f t="shared" si="13"/>
        <v>0</v>
      </c>
      <c r="AA25" s="13" t="s">
        <v>211</v>
      </c>
      <c r="AB25">
        <v>1</v>
      </c>
    </row>
    <row r="26" spans="1:28" ht="28.8" x14ac:dyDescent="0.3">
      <c r="A26" s="19" t="s">
        <v>159</v>
      </c>
      <c r="B26" s="20">
        <v>5</v>
      </c>
      <c r="C26" s="20" t="s">
        <v>336</v>
      </c>
      <c r="D26" s="8" t="s">
        <v>194</v>
      </c>
      <c r="E26" s="9">
        <v>0</v>
      </c>
      <c r="F26" s="10">
        <v>0</v>
      </c>
      <c r="G26" s="11">
        <v>0</v>
      </c>
      <c r="H26" s="12">
        <v>0</v>
      </c>
      <c r="I26" s="10">
        <f t="shared" si="0"/>
        <v>6</v>
      </c>
      <c r="J26" s="11">
        <f t="shared" si="1"/>
        <v>9</v>
      </c>
      <c r="K26" s="11">
        <f t="shared" si="2"/>
        <v>9</v>
      </c>
      <c r="L26" s="13">
        <f t="shared" si="3"/>
        <v>1</v>
      </c>
      <c r="M26" s="14">
        <f t="shared" si="4"/>
        <v>46</v>
      </c>
      <c r="N26" s="6" t="s">
        <v>272</v>
      </c>
      <c r="O26" s="10">
        <f t="shared" si="5"/>
        <v>129</v>
      </c>
      <c r="P26" s="11">
        <f t="shared" si="6"/>
        <v>105</v>
      </c>
      <c r="Q26" s="13">
        <f t="shared" si="7"/>
        <v>36</v>
      </c>
      <c r="R26" s="35" t="s">
        <v>354</v>
      </c>
      <c r="S26" s="34">
        <f t="shared" si="8"/>
        <v>18</v>
      </c>
      <c r="T26" s="33" t="s">
        <v>307</v>
      </c>
      <c r="U26" s="9">
        <f t="shared" si="9"/>
        <v>3</v>
      </c>
      <c r="V26" s="10">
        <f t="shared" si="10"/>
        <v>114</v>
      </c>
      <c r="W26" s="11">
        <f t="shared" si="11"/>
        <v>63</v>
      </c>
      <c r="X26" s="13">
        <f t="shared" si="12"/>
        <v>9</v>
      </c>
      <c r="Y26" s="12" t="s">
        <v>328</v>
      </c>
      <c r="Z26" s="30">
        <f t="shared" si="13"/>
        <v>168</v>
      </c>
      <c r="AA26" s="13" t="s">
        <v>207</v>
      </c>
      <c r="AB26">
        <v>1</v>
      </c>
    </row>
    <row r="27" spans="1:28" ht="28.8" x14ac:dyDescent="0.3">
      <c r="A27" s="15" t="s">
        <v>91</v>
      </c>
      <c r="B27" s="7">
        <v>4</v>
      </c>
      <c r="C27" s="7" t="s">
        <v>336</v>
      </c>
      <c r="D27" s="16" t="s">
        <v>196</v>
      </c>
      <c r="E27" s="9">
        <v>6</v>
      </c>
      <c r="F27" s="10">
        <v>6</v>
      </c>
      <c r="G27" s="11">
        <v>8</v>
      </c>
      <c r="H27" s="12">
        <v>6</v>
      </c>
      <c r="I27" s="10">
        <f t="shared" si="0"/>
        <v>0</v>
      </c>
      <c r="J27" s="11">
        <f t="shared" si="1"/>
        <v>0</v>
      </c>
      <c r="K27" s="11">
        <f t="shared" si="2"/>
        <v>0</v>
      </c>
      <c r="L27" s="13">
        <f t="shared" si="3"/>
        <v>0</v>
      </c>
      <c r="M27" s="14">
        <f t="shared" si="4"/>
        <v>0</v>
      </c>
      <c r="N27" s="6" t="s">
        <v>284</v>
      </c>
      <c r="O27" s="10">
        <f t="shared" si="5"/>
        <v>83</v>
      </c>
      <c r="P27" s="11">
        <f t="shared" si="6"/>
        <v>0</v>
      </c>
      <c r="Q27" s="13">
        <f t="shared" si="7"/>
        <v>0</v>
      </c>
      <c r="R27" s="35" t="s">
        <v>352</v>
      </c>
      <c r="S27" s="34">
        <f t="shared" si="8"/>
        <v>16</v>
      </c>
      <c r="T27" s="33" t="s">
        <v>316</v>
      </c>
      <c r="U27" s="9">
        <f t="shared" si="9"/>
        <v>3</v>
      </c>
      <c r="V27" s="10">
        <f t="shared" si="10"/>
        <v>104</v>
      </c>
      <c r="W27" s="11">
        <f t="shared" si="11"/>
        <v>0</v>
      </c>
      <c r="X27" s="13">
        <f t="shared" si="12"/>
        <v>0</v>
      </c>
      <c r="Y27" s="12" t="s">
        <v>330</v>
      </c>
      <c r="Z27" s="30">
        <f t="shared" si="13"/>
        <v>0</v>
      </c>
      <c r="AA27" s="13" t="s">
        <v>209</v>
      </c>
      <c r="AB27">
        <v>1</v>
      </c>
    </row>
    <row r="28" spans="1:28" x14ac:dyDescent="0.3">
      <c r="A28" s="15" t="s">
        <v>105</v>
      </c>
      <c r="B28" s="7">
        <v>4</v>
      </c>
      <c r="C28" s="7" t="s">
        <v>336</v>
      </c>
      <c r="D28" s="18" t="s">
        <v>193</v>
      </c>
      <c r="E28" s="9">
        <v>1</v>
      </c>
      <c r="F28" s="10">
        <v>1</v>
      </c>
      <c r="G28" s="11">
        <v>1</v>
      </c>
      <c r="H28" s="12">
        <v>1</v>
      </c>
      <c r="I28" s="10">
        <f t="shared" si="0"/>
        <v>6</v>
      </c>
      <c r="J28" s="11">
        <f t="shared" si="1"/>
        <v>9</v>
      </c>
      <c r="K28" s="11">
        <f t="shared" si="2"/>
        <v>9</v>
      </c>
      <c r="L28" s="13">
        <f t="shared" si="3"/>
        <v>0</v>
      </c>
      <c r="M28" s="14">
        <f t="shared" si="4"/>
        <v>46</v>
      </c>
      <c r="N28" s="6" t="s">
        <v>261</v>
      </c>
      <c r="O28" s="10">
        <f t="shared" si="5"/>
        <v>129</v>
      </c>
      <c r="P28" s="11">
        <f t="shared" si="6"/>
        <v>105</v>
      </c>
      <c r="Q28" s="13">
        <f t="shared" si="7"/>
        <v>33</v>
      </c>
      <c r="R28" s="35" t="s">
        <v>348</v>
      </c>
      <c r="S28" s="34">
        <f t="shared" si="8"/>
        <v>18</v>
      </c>
      <c r="T28" s="33" t="s">
        <v>295</v>
      </c>
      <c r="U28" s="9">
        <f t="shared" si="9"/>
        <v>3</v>
      </c>
      <c r="V28" s="10">
        <f t="shared" si="10"/>
        <v>114</v>
      </c>
      <c r="W28" s="11">
        <f t="shared" si="11"/>
        <v>63</v>
      </c>
      <c r="X28" s="13">
        <f t="shared" si="12"/>
        <v>9</v>
      </c>
      <c r="Y28" s="12" t="s">
        <v>328</v>
      </c>
      <c r="Z28" s="30">
        <f t="shared" si="13"/>
        <v>165</v>
      </c>
      <c r="AA28" s="13" t="s">
        <v>212</v>
      </c>
      <c r="AB28" t="s">
        <v>373</v>
      </c>
    </row>
    <row r="29" spans="1:28" x14ac:dyDescent="0.3">
      <c r="A29" s="15" t="s">
        <v>128</v>
      </c>
      <c r="B29" s="7">
        <v>4</v>
      </c>
      <c r="C29" s="7" t="s">
        <v>336</v>
      </c>
      <c r="D29" s="17" t="s">
        <v>192</v>
      </c>
      <c r="E29" s="9">
        <v>3</v>
      </c>
      <c r="F29" s="10">
        <v>4</v>
      </c>
      <c r="G29" s="11">
        <v>4</v>
      </c>
      <c r="H29" s="12">
        <v>4</v>
      </c>
      <c r="I29" s="10">
        <f t="shared" si="0"/>
        <v>6</v>
      </c>
      <c r="J29" s="11">
        <f t="shared" si="1"/>
        <v>9</v>
      </c>
      <c r="K29" s="11">
        <f t="shared" si="2"/>
        <v>0</v>
      </c>
      <c r="L29" s="13">
        <f t="shared" si="3"/>
        <v>0</v>
      </c>
      <c r="M29" s="14">
        <f t="shared" si="4"/>
        <v>40</v>
      </c>
      <c r="N29" s="6" t="s">
        <v>283</v>
      </c>
      <c r="O29" s="10">
        <f t="shared" si="5"/>
        <v>129</v>
      </c>
      <c r="P29" s="11">
        <f t="shared" si="6"/>
        <v>79</v>
      </c>
      <c r="Q29" s="13">
        <f t="shared" si="7"/>
        <v>0</v>
      </c>
      <c r="R29" s="35" t="s">
        <v>353</v>
      </c>
      <c r="S29" s="34">
        <f t="shared" si="8"/>
        <v>18</v>
      </c>
      <c r="T29" s="33" t="s">
        <v>319</v>
      </c>
      <c r="U29" s="9">
        <f t="shared" si="9"/>
        <v>3</v>
      </c>
      <c r="V29" s="10">
        <f t="shared" si="10"/>
        <v>114</v>
      </c>
      <c r="W29" s="11">
        <f t="shared" si="11"/>
        <v>45</v>
      </c>
      <c r="X29" s="13">
        <f t="shared" si="12"/>
        <v>0</v>
      </c>
      <c r="Y29" s="12" t="s">
        <v>328</v>
      </c>
      <c r="Z29" s="30">
        <f t="shared" si="13"/>
        <v>135</v>
      </c>
      <c r="AA29" s="13" t="s">
        <v>210</v>
      </c>
      <c r="AB29">
        <v>1</v>
      </c>
    </row>
    <row r="30" spans="1:28" x14ac:dyDescent="0.3">
      <c r="A30" s="15" t="s">
        <v>139</v>
      </c>
      <c r="B30" s="7">
        <v>4</v>
      </c>
      <c r="C30" s="7" t="s">
        <v>336</v>
      </c>
      <c r="D30" s="23" t="s">
        <v>195</v>
      </c>
      <c r="E30" s="9">
        <v>4</v>
      </c>
      <c r="F30" s="10">
        <v>6</v>
      </c>
      <c r="G30" s="11">
        <v>6</v>
      </c>
      <c r="H30" s="12">
        <v>6</v>
      </c>
      <c r="I30" s="10">
        <f t="shared" si="0"/>
        <v>6</v>
      </c>
      <c r="J30" s="11">
        <f t="shared" si="1"/>
        <v>6</v>
      </c>
      <c r="K30" s="11">
        <f t="shared" si="2"/>
        <v>0</v>
      </c>
      <c r="L30" s="13">
        <f t="shared" si="3"/>
        <v>0</v>
      </c>
      <c r="M30" s="14">
        <f t="shared" si="4"/>
        <v>32</v>
      </c>
      <c r="N30" s="6" t="s">
        <v>282</v>
      </c>
      <c r="O30" s="10">
        <f t="shared" si="5"/>
        <v>129</v>
      </c>
      <c r="P30" s="11">
        <f t="shared" si="6"/>
        <v>0</v>
      </c>
      <c r="Q30" s="13">
        <f t="shared" si="7"/>
        <v>0</v>
      </c>
      <c r="R30" s="35" t="s">
        <v>349</v>
      </c>
      <c r="S30" s="34">
        <f t="shared" si="8"/>
        <v>18</v>
      </c>
      <c r="T30" s="33" t="s">
        <v>321</v>
      </c>
      <c r="U30" s="9">
        <f t="shared" si="9"/>
        <v>3</v>
      </c>
      <c r="V30" s="10">
        <f t="shared" si="10"/>
        <v>114</v>
      </c>
      <c r="W30" s="11">
        <f t="shared" si="11"/>
        <v>0</v>
      </c>
      <c r="X30" s="13">
        <f t="shared" si="12"/>
        <v>0</v>
      </c>
      <c r="Y30" s="12" t="s">
        <v>330</v>
      </c>
      <c r="Z30" s="30">
        <f t="shared" si="13"/>
        <v>105</v>
      </c>
      <c r="AA30" s="13" t="s">
        <v>206</v>
      </c>
      <c r="AB30">
        <v>1</v>
      </c>
    </row>
    <row r="31" spans="1:28" ht="28.8" x14ac:dyDescent="0.3">
      <c r="A31" s="15" t="s">
        <v>140</v>
      </c>
      <c r="B31" s="7">
        <v>4</v>
      </c>
      <c r="C31" s="7" t="s">
        <v>336</v>
      </c>
      <c r="D31" s="18" t="s">
        <v>193</v>
      </c>
      <c r="E31" s="9">
        <v>3</v>
      </c>
      <c r="F31" s="10">
        <v>2</v>
      </c>
      <c r="G31" s="11">
        <v>2</v>
      </c>
      <c r="H31" s="12">
        <v>2</v>
      </c>
      <c r="I31" s="10">
        <f t="shared" si="0"/>
        <v>6</v>
      </c>
      <c r="J31" s="11">
        <f t="shared" si="1"/>
        <v>9</v>
      </c>
      <c r="K31" s="11">
        <f t="shared" si="2"/>
        <v>0</v>
      </c>
      <c r="L31" s="13">
        <f t="shared" si="3"/>
        <v>0</v>
      </c>
      <c r="M31" s="14">
        <f t="shared" si="4"/>
        <v>40</v>
      </c>
      <c r="N31" s="6" t="s">
        <v>281</v>
      </c>
      <c r="O31" s="10">
        <f t="shared" si="5"/>
        <v>129</v>
      </c>
      <c r="P31" s="11">
        <f t="shared" si="6"/>
        <v>93</v>
      </c>
      <c r="Q31" s="13">
        <f t="shared" si="7"/>
        <v>0</v>
      </c>
      <c r="R31" s="35" t="s">
        <v>352</v>
      </c>
      <c r="S31" s="34">
        <f t="shared" si="8"/>
        <v>18</v>
      </c>
      <c r="T31" s="33" t="s">
        <v>315</v>
      </c>
      <c r="U31" s="9">
        <f t="shared" si="9"/>
        <v>3</v>
      </c>
      <c r="V31" s="10">
        <f t="shared" si="10"/>
        <v>114</v>
      </c>
      <c r="W31" s="11">
        <f t="shared" si="11"/>
        <v>63</v>
      </c>
      <c r="X31" s="13">
        <f t="shared" si="12"/>
        <v>0</v>
      </c>
      <c r="Y31" s="12" t="s">
        <v>330</v>
      </c>
      <c r="Z31" s="30">
        <f t="shared" si="13"/>
        <v>135</v>
      </c>
      <c r="AA31" s="13" t="s">
        <v>208</v>
      </c>
      <c r="AB31">
        <v>1</v>
      </c>
    </row>
    <row r="32" spans="1:28" x14ac:dyDescent="0.3">
      <c r="A32" s="15" t="s">
        <v>141</v>
      </c>
      <c r="B32" s="7">
        <v>4</v>
      </c>
      <c r="C32" s="7" t="s">
        <v>336</v>
      </c>
      <c r="D32" s="18" t="s">
        <v>193</v>
      </c>
      <c r="E32" s="9">
        <v>6</v>
      </c>
      <c r="F32" s="10">
        <v>6</v>
      </c>
      <c r="G32" s="11">
        <v>6</v>
      </c>
      <c r="H32" s="12">
        <v>9</v>
      </c>
      <c r="I32" s="10">
        <f t="shared" si="0"/>
        <v>0</v>
      </c>
      <c r="J32" s="11">
        <f t="shared" si="1"/>
        <v>0</v>
      </c>
      <c r="K32" s="11">
        <f t="shared" si="2"/>
        <v>0</v>
      </c>
      <c r="L32" s="13">
        <f t="shared" si="3"/>
        <v>0</v>
      </c>
      <c r="M32" s="14">
        <f t="shared" si="4"/>
        <v>0</v>
      </c>
      <c r="N32" s="6" t="s">
        <v>281</v>
      </c>
      <c r="O32" s="10">
        <f t="shared" si="5"/>
        <v>74</v>
      </c>
      <c r="P32" s="11">
        <f t="shared" si="6"/>
        <v>0</v>
      </c>
      <c r="Q32" s="13">
        <f t="shared" si="7"/>
        <v>0</v>
      </c>
      <c r="R32" s="35" t="s">
        <v>348</v>
      </c>
      <c r="S32" s="34">
        <f t="shared" si="8"/>
        <v>14</v>
      </c>
      <c r="T32" s="33" t="s">
        <v>317</v>
      </c>
      <c r="U32" s="9">
        <f t="shared" si="9"/>
        <v>3</v>
      </c>
      <c r="V32" s="10">
        <f t="shared" si="10"/>
        <v>92</v>
      </c>
      <c r="W32" s="11">
        <f t="shared" si="11"/>
        <v>0</v>
      </c>
      <c r="X32" s="13">
        <f t="shared" si="12"/>
        <v>0</v>
      </c>
      <c r="Y32" s="12" t="s">
        <v>329</v>
      </c>
      <c r="Z32" s="30">
        <f t="shared" si="13"/>
        <v>0</v>
      </c>
      <c r="AA32" s="13" t="s">
        <v>213</v>
      </c>
      <c r="AB32">
        <v>1</v>
      </c>
    </row>
    <row r="33" spans="1:28" x14ac:dyDescent="0.3">
      <c r="A33" s="15" t="s">
        <v>155</v>
      </c>
      <c r="B33" s="7">
        <v>4</v>
      </c>
      <c r="C33" s="7" t="s">
        <v>336</v>
      </c>
      <c r="D33" s="8" t="s">
        <v>194</v>
      </c>
      <c r="E33" s="9">
        <v>4</v>
      </c>
      <c r="F33" s="10">
        <v>6</v>
      </c>
      <c r="G33" s="11">
        <v>6</v>
      </c>
      <c r="H33" s="12">
        <v>6</v>
      </c>
      <c r="I33" s="10">
        <f t="shared" si="0"/>
        <v>6</v>
      </c>
      <c r="J33" s="11">
        <f t="shared" si="1"/>
        <v>6</v>
      </c>
      <c r="K33" s="11">
        <f t="shared" si="2"/>
        <v>0</v>
      </c>
      <c r="L33" s="13">
        <f t="shared" si="3"/>
        <v>0</v>
      </c>
      <c r="M33" s="14">
        <f t="shared" si="4"/>
        <v>32</v>
      </c>
      <c r="N33" s="6" t="s">
        <v>285</v>
      </c>
      <c r="O33" s="10">
        <f t="shared" si="5"/>
        <v>129</v>
      </c>
      <c r="P33" s="11">
        <f t="shared" si="6"/>
        <v>0</v>
      </c>
      <c r="Q33" s="13">
        <f t="shared" si="7"/>
        <v>0</v>
      </c>
      <c r="R33" s="35" t="s">
        <v>349</v>
      </c>
      <c r="S33" s="34">
        <f t="shared" si="8"/>
        <v>18</v>
      </c>
      <c r="T33" s="33" t="s">
        <v>316</v>
      </c>
      <c r="U33" s="9">
        <f t="shared" si="9"/>
        <v>3</v>
      </c>
      <c r="V33" s="10">
        <f t="shared" si="10"/>
        <v>114</v>
      </c>
      <c r="W33" s="11">
        <f t="shared" si="11"/>
        <v>0</v>
      </c>
      <c r="X33" s="13">
        <f t="shared" si="12"/>
        <v>0</v>
      </c>
      <c r="Y33" s="12" t="s">
        <v>329</v>
      </c>
      <c r="Z33" s="30">
        <f t="shared" si="13"/>
        <v>105</v>
      </c>
      <c r="AA33" s="13" t="s">
        <v>211</v>
      </c>
      <c r="AB33">
        <v>1</v>
      </c>
    </row>
    <row r="34" spans="1:28" x14ac:dyDescent="0.3">
      <c r="A34" s="15" t="s">
        <v>164</v>
      </c>
      <c r="B34" s="7">
        <v>4</v>
      </c>
      <c r="C34" s="7" t="s">
        <v>336</v>
      </c>
      <c r="D34" s="17" t="s">
        <v>192</v>
      </c>
      <c r="E34" s="9">
        <v>3</v>
      </c>
      <c r="F34" s="10">
        <v>1</v>
      </c>
      <c r="G34" s="11">
        <v>1</v>
      </c>
      <c r="H34" s="12">
        <v>4</v>
      </c>
      <c r="I34" s="10">
        <f t="shared" ref="I34:I65" si="14">IF(E34=6,0,6)</f>
        <v>6</v>
      </c>
      <c r="J34" s="11">
        <f t="shared" ref="J34:J65" si="15">IF(E34=0,9,IF(E34=1,9,IF(E34=2,9,IF(E34=3,9,IF(E34=4,6,0)))))</f>
        <v>9</v>
      </c>
      <c r="K34" s="11">
        <f t="shared" ref="K34:K65" si="16">IF(E34=0,9,IF(E34=1,9,IF(E34=2,6,0)))</f>
        <v>0</v>
      </c>
      <c r="L34" s="13">
        <f t="shared" ref="L34:L65" si="17">IF(E34=0,1,0)</f>
        <v>0</v>
      </c>
      <c r="M34" s="14">
        <f t="shared" ref="M34:M55" si="18">IF(E34=0,46,IF(E34=1,46,IF(E34=2,44,IF(E34=3,40,IF(E34=4,32,IF(E34=5,20,0))))))</f>
        <v>40</v>
      </c>
      <c r="N34" s="6" t="s">
        <v>273</v>
      </c>
      <c r="O34" s="10">
        <f t="shared" ref="O34:O65" si="19">IF(E34=0,36,IF(E34=1,36,IF(E34=2,36,IF(E34=3,36,IF(E34=4,36,IF(E34=5,24,0))))))+IF(F34=0,31,IF(F34=1,31,IF(F34=2,31,IF(F34=3,31,IF(F34=4,31,IF(F34=5,31,IF(F34=6,31,IF(F34=7,27,IF(F34=8,21,IF(F34=9,12,0))))))))))+IF(G34=0,31,IF(G34=1,31,IF(G34=2,31,IF(G34=3,31,IF(G34=4,31,IF(G34=5,31,IF(G34=6,31,IF(G34=7,27,IF(G34=8,21,IF(G34=9,12,0))))))))))+IF(H34=0,31,IF(H34=1,31,IF(H34=2,31,IF(H34=3,31,IF(H34=4,31,IF(H34=5,31,IF(H34=6,31,IF(H34=7,27,IF(H34=8,21,IF(H34=9,12,0))))))))))</f>
        <v>129</v>
      </c>
      <c r="P34" s="11">
        <f t="shared" ref="P34:P65" si="20">IF(E34=0,30,IF(E34=1,30,IF(E34=2,30,IF(E34=3,18,0))))+IF(F34=0,22,IF(F34=1,22,IF(F34=2,22,IF(F34=3,19,IF(F34=4,15,IF(F34=5,9,0))))))+IF(G34=0,31,IF(G34=1,31,IF(G34=2,31,IF(G34=3,31,IF(G34=4,31,IF(G34=5,31,0))))))+IF(H34=0,22,IF(H34=1,22,IF(H34=2,22,IF(H34=3,19,IF(H34=4,15,IF(H34=5,9,0))))))</f>
        <v>86</v>
      </c>
      <c r="Q34" s="13">
        <f t="shared" ref="Q34:Q65" si="21">IF(E34=0,18,IF(E34=1,15,0))+IF(F34=0,6,IF(F34=1,6,0))+IF(G34=0,6,IF(G34=1,6,0))+IF(H34=0,6,IF(H34=1,6,0))</f>
        <v>12</v>
      </c>
      <c r="R34" s="35" t="s">
        <v>349</v>
      </c>
      <c r="S34" s="34">
        <f t="shared" ref="S34:S65" si="22">IF(F34=0,6,IF(F34=1,6,IF(F34=2,6,IF(F34=3,6,IF(F34=4,6,IF(F34=5,6,IF(F34=6,6,IF(F34=7,5,IF(F34=8,4,IF(F34=9,2,0))))))))))+IF(G34=0,6,IF(G34=1,6,IF(G34=2,6,IF(G34=3,6,IF(G34=4,6,IF(G34=5,6,IF(G34=6,6,IF(G34=7,5,IF(G34=8,4,IF(G34=9,2,0))))))))))+IF(H34=0,6,IF(H34=1,6,IF(H34=2,6,IF(H34=3,6,IF(H34=4,6,IF(H34=5,6,IF(H34=6,6,IF(H34=7,5,IF(H34=8,4,IF(H34=9,2,0))))))))))</f>
        <v>18</v>
      </c>
      <c r="T34" s="33" t="s">
        <v>309</v>
      </c>
      <c r="U34" s="9">
        <f t="shared" ref="U34:U65" si="23">IF(F34=10,0,1)+IF(G34=10,0,1)+IF(H34=10,0,1)</f>
        <v>3</v>
      </c>
      <c r="V34" s="10">
        <f t="shared" ref="V34:V65" si="24">IF(F34=0,38,IF(F34=1,38,IF(F34=2,38,IF(F34=3,38,IF(F34=4,38,IF(F34=5,38,IF(F34=6,38,IF(F34=7,34,IF(F34=8,28,IF(F34=9,16,0))))))))))+IF(G34=0,38,IF(G34=1,38,IF(G34=2,38,IF(G34=3,38,IF(G34=4,38,IF(G34=5,38,IF(G34=6,38,IF(G34=7,34,IF(G34=8,28,IF(G34=9,16,0))))))))))+IF(H34=0,38,IF(H34=1,38,IF(H34=2,38,IF(H34=3,38,IF(H34=4,38,IF(H34=5,38,IF(H34=6,38,IF(H34=7,34,IF(H34=8,28,IF(H34=9,16,0))))))))))</f>
        <v>114</v>
      </c>
      <c r="W34" s="11">
        <f t="shared" ref="W34:W65" si="25">IF(F34=0,21,IF(F34=1,21,IF(F34=2,21,IF(F34=3,19,IF(F34=4,15,IF(F34=5,9,0))))))+IF(G34=0,21,IF(G34=1,21,IF(G34=2,21,IF(G34=3,19,IF(G34=4,15,IF(G34=5,21,0))))))+IF(H34=0,21,IF(H34=1,21,IF(H34=2,21,IF(H34=3,19,IF(H34=4,15,IF(H34=5,9,0))))))</f>
        <v>57</v>
      </c>
      <c r="X34" s="13">
        <f t="shared" ref="X34:X65" si="26">IF(F34=0,3,IF(F34=1,3,0))+IF(G34=0,3,IF(G34=1,3,0))+IF(H34=0,3,IF(H34=1,3,0))</f>
        <v>6</v>
      </c>
      <c r="Y34" s="12" t="s">
        <v>329</v>
      </c>
      <c r="Z34" s="30">
        <f t="shared" ref="Z34:Z65" si="27">IF(E34=0,168,IF(E34=1,165,IF(E34=2,155,IF(E34=3,135,IF(E34=4,105,IF(E34=5,60,0))))))</f>
        <v>135</v>
      </c>
      <c r="AA34" s="13" t="s">
        <v>210</v>
      </c>
      <c r="AB34" t="s">
        <v>373</v>
      </c>
    </row>
    <row r="35" spans="1:28" ht="28.8" x14ac:dyDescent="0.3">
      <c r="A35" s="15" t="s">
        <v>165</v>
      </c>
      <c r="B35" s="7">
        <v>4</v>
      </c>
      <c r="C35" s="7" t="s">
        <v>336</v>
      </c>
      <c r="D35" s="18" t="s">
        <v>193</v>
      </c>
      <c r="E35" s="9">
        <v>3</v>
      </c>
      <c r="F35" s="10">
        <v>2</v>
      </c>
      <c r="G35" s="11">
        <v>3</v>
      </c>
      <c r="H35" s="12">
        <v>2</v>
      </c>
      <c r="I35" s="10">
        <f t="shared" si="14"/>
        <v>6</v>
      </c>
      <c r="J35" s="11">
        <f t="shared" si="15"/>
        <v>9</v>
      </c>
      <c r="K35" s="11">
        <f t="shared" si="16"/>
        <v>0</v>
      </c>
      <c r="L35" s="13">
        <f t="shared" si="17"/>
        <v>0</v>
      </c>
      <c r="M35" s="14">
        <f t="shared" si="18"/>
        <v>40</v>
      </c>
      <c r="N35" s="6" t="s">
        <v>280</v>
      </c>
      <c r="O35" s="10">
        <f t="shared" si="19"/>
        <v>129</v>
      </c>
      <c r="P35" s="11">
        <f t="shared" si="20"/>
        <v>93</v>
      </c>
      <c r="Q35" s="13">
        <f t="shared" si="21"/>
        <v>0</v>
      </c>
      <c r="R35" s="35" t="s">
        <v>352</v>
      </c>
      <c r="S35" s="34">
        <f t="shared" si="22"/>
        <v>18</v>
      </c>
      <c r="T35" s="33" t="s">
        <v>312</v>
      </c>
      <c r="U35" s="9">
        <f t="shared" si="23"/>
        <v>3</v>
      </c>
      <c r="V35" s="10">
        <f t="shared" si="24"/>
        <v>114</v>
      </c>
      <c r="W35" s="11">
        <f t="shared" si="25"/>
        <v>61</v>
      </c>
      <c r="X35" s="13">
        <f t="shared" si="26"/>
        <v>0</v>
      </c>
      <c r="Y35" s="12" t="s">
        <v>330</v>
      </c>
      <c r="Z35" s="30">
        <f t="shared" si="27"/>
        <v>135</v>
      </c>
      <c r="AA35" s="13" t="s">
        <v>209</v>
      </c>
      <c r="AB35">
        <v>1</v>
      </c>
    </row>
    <row r="36" spans="1:28" x14ac:dyDescent="0.3">
      <c r="A36" s="15" t="s">
        <v>166</v>
      </c>
      <c r="B36" s="7">
        <v>4</v>
      </c>
      <c r="C36" s="7" t="s">
        <v>336</v>
      </c>
      <c r="D36" s="21" t="s">
        <v>191</v>
      </c>
      <c r="E36" s="9">
        <v>5</v>
      </c>
      <c r="F36" s="10">
        <v>1</v>
      </c>
      <c r="G36" s="11">
        <v>8</v>
      </c>
      <c r="H36" s="12">
        <v>7</v>
      </c>
      <c r="I36" s="10">
        <f t="shared" si="14"/>
        <v>6</v>
      </c>
      <c r="J36" s="11">
        <f t="shared" si="15"/>
        <v>0</v>
      </c>
      <c r="K36" s="11">
        <f t="shared" si="16"/>
        <v>0</v>
      </c>
      <c r="L36" s="13">
        <f t="shared" si="17"/>
        <v>0</v>
      </c>
      <c r="M36" s="14">
        <f t="shared" si="18"/>
        <v>20</v>
      </c>
      <c r="N36" s="6" t="s">
        <v>266</v>
      </c>
      <c r="O36" s="10">
        <f t="shared" si="19"/>
        <v>103</v>
      </c>
      <c r="P36" s="11">
        <f t="shared" si="20"/>
        <v>22</v>
      </c>
      <c r="Q36" s="13">
        <f t="shared" si="21"/>
        <v>6</v>
      </c>
      <c r="R36" s="35" t="s">
        <v>348</v>
      </c>
      <c r="S36" s="34">
        <f t="shared" si="22"/>
        <v>15</v>
      </c>
      <c r="T36" s="33" t="s">
        <v>301</v>
      </c>
      <c r="U36" s="9">
        <f t="shared" si="23"/>
        <v>3</v>
      </c>
      <c r="V36" s="10">
        <f t="shared" si="24"/>
        <v>100</v>
      </c>
      <c r="W36" s="11">
        <f t="shared" si="25"/>
        <v>21</v>
      </c>
      <c r="X36" s="13">
        <f t="shared" si="26"/>
        <v>3</v>
      </c>
      <c r="Y36" s="12" t="s">
        <v>329</v>
      </c>
      <c r="Z36" s="30">
        <f t="shared" si="27"/>
        <v>60</v>
      </c>
      <c r="AA36" s="13" t="s">
        <v>213</v>
      </c>
      <c r="AB36">
        <v>1</v>
      </c>
    </row>
    <row r="37" spans="1:28" x14ac:dyDescent="0.3">
      <c r="A37" s="72" t="s">
        <v>372</v>
      </c>
      <c r="B37" s="7">
        <v>4</v>
      </c>
      <c r="C37" s="7" t="s">
        <v>336</v>
      </c>
      <c r="D37" s="16" t="s">
        <v>371</v>
      </c>
      <c r="E37" s="9">
        <v>1</v>
      </c>
      <c r="F37" s="10">
        <v>0</v>
      </c>
      <c r="G37" s="11">
        <v>0</v>
      </c>
      <c r="H37" s="12">
        <v>0</v>
      </c>
      <c r="I37" s="10">
        <f t="shared" si="14"/>
        <v>6</v>
      </c>
      <c r="J37" s="11">
        <f t="shared" si="15"/>
        <v>9</v>
      </c>
      <c r="K37" s="11">
        <f t="shared" si="16"/>
        <v>9</v>
      </c>
      <c r="L37" s="13">
        <f t="shared" si="17"/>
        <v>0</v>
      </c>
      <c r="M37" s="14">
        <f t="shared" si="18"/>
        <v>46</v>
      </c>
      <c r="N37" s="6"/>
      <c r="O37" s="10">
        <f t="shared" si="19"/>
        <v>129</v>
      </c>
      <c r="P37" s="11">
        <f t="shared" si="20"/>
        <v>105</v>
      </c>
      <c r="Q37" s="13">
        <f t="shared" si="21"/>
        <v>33</v>
      </c>
      <c r="R37" s="35"/>
      <c r="S37" s="34">
        <f t="shared" si="22"/>
        <v>18</v>
      </c>
      <c r="T37" s="33"/>
      <c r="U37" s="9">
        <f t="shared" si="23"/>
        <v>3</v>
      </c>
      <c r="V37" s="10">
        <f t="shared" si="24"/>
        <v>114</v>
      </c>
      <c r="W37" s="11">
        <f t="shared" si="25"/>
        <v>63</v>
      </c>
      <c r="X37" s="13">
        <f t="shared" si="26"/>
        <v>9</v>
      </c>
      <c r="Y37" s="12"/>
      <c r="Z37" s="30">
        <f t="shared" si="27"/>
        <v>165</v>
      </c>
      <c r="AA37" s="13" t="s">
        <v>232</v>
      </c>
      <c r="AB37" t="s">
        <v>373</v>
      </c>
    </row>
    <row r="38" spans="1:28" ht="28.8" x14ac:dyDescent="0.3">
      <c r="A38" s="19" t="s">
        <v>83</v>
      </c>
      <c r="B38" s="20">
        <v>5</v>
      </c>
      <c r="C38" s="20" t="s">
        <v>331</v>
      </c>
      <c r="D38" s="17" t="s">
        <v>192</v>
      </c>
      <c r="E38" s="9">
        <v>0</v>
      </c>
      <c r="F38" s="10">
        <v>0</v>
      </c>
      <c r="G38" s="11">
        <v>0</v>
      </c>
      <c r="H38" s="12">
        <v>0</v>
      </c>
      <c r="I38" s="10">
        <f t="shared" si="14"/>
        <v>6</v>
      </c>
      <c r="J38" s="11">
        <f t="shared" si="15"/>
        <v>9</v>
      </c>
      <c r="K38" s="11">
        <f t="shared" si="16"/>
        <v>9</v>
      </c>
      <c r="L38" s="13">
        <f t="shared" si="17"/>
        <v>1</v>
      </c>
      <c r="M38" s="14">
        <f t="shared" si="18"/>
        <v>46</v>
      </c>
      <c r="N38" s="6" t="s">
        <v>283</v>
      </c>
      <c r="O38" s="10">
        <f t="shared" si="19"/>
        <v>129</v>
      </c>
      <c r="P38" s="11">
        <f t="shared" si="20"/>
        <v>105</v>
      </c>
      <c r="Q38" s="13">
        <f t="shared" si="21"/>
        <v>36</v>
      </c>
      <c r="R38" s="35" t="s">
        <v>351</v>
      </c>
      <c r="S38" s="34">
        <f t="shared" si="22"/>
        <v>18</v>
      </c>
      <c r="T38" s="33" t="s">
        <v>315</v>
      </c>
      <c r="U38" s="9">
        <f t="shared" si="23"/>
        <v>3</v>
      </c>
      <c r="V38" s="10">
        <f t="shared" si="24"/>
        <v>114</v>
      </c>
      <c r="W38" s="11">
        <f t="shared" si="25"/>
        <v>63</v>
      </c>
      <c r="X38" s="13">
        <f t="shared" si="26"/>
        <v>9</v>
      </c>
      <c r="Y38" s="12" t="s">
        <v>327</v>
      </c>
      <c r="Z38" s="30">
        <f t="shared" si="27"/>
        <v>168</v>
      </c>
      <c r="AA38" s="13" t="s">
        <v>199</v>
      </c>
      <c r="AB38">
        <v>1</v>
      </c>
    </row>
    <row r="39" spans="1:28" x14ac:dyDescent="0.3">
      <c r="A39" s="19" t="s">
        <v>92</v>
      </c>
      <c r="B39" s="20">
        <v>5</v>
      </c>
      <c r="C39" s="20" t="s">
        <v>331</v>
      </c>
      <c r="D39" s="22" t="s">
        <v>197</v>
      </c>
      <c r="E39" s="9">
        <v>3</v>
      </c>
      <c r="F39" s="10">
        <v>1</v>
      </c>
      <c r="G39" s="11">
        <v>1</v>
      </c>
      <c r="H39" s="12">
        <v>2</v>
      </c>
      <c r="I39" s="10">
        <f t="shared" si="14"/>
        <v>6</v>
      </c>
      <c r="J39" s="11">
        <f t="shared" si="15"/>
        <v>9</v>
      </c>
      <c r="K39" s="11">
        <f t="shared" si="16"/>
        <v>0</v>
      </c>
      <c r="L39" s="13">
        <f t="shared" si="17"/>
        <v>0</v>
      </c>
      <c r="M39" s="14">
        <f t="shared" si="18"/>
        <v>40</v>
      </c>
      <c r="N39" s="6" t="s">
        <v>286</v>
      </c>
      <c r="O39" s="10">
        <f t="shared" si="19"/>
        <v>129</v>
      </c>
      <c r="P39" s="11">
        <f t="shared" si="20"/>
        <v>93</v>
      </c>
      <c r="Q39" s="13">
        <f t="shared" si="21"/>
        <v>12</v>
      </c>
      <c r="R39" s="35" t="s">
        <v>348</v>
      </c>
      <c r="S39" s="34">
        <f t="shared" si="22"/>
        <v>18</v>
      </c>
      <c r="T39" s="33" t="s">
        <v>321</v>
      </c>
      <c r="U39" s="9">
        <f t="shared" si="23"/>
        <v>3</v>
      </c>
      <c r="V39" s="10">
        <f t="shared" si="24"/>
        <v>114</v>
      </c>
      <c r="W39" s="11">
        <f t="shared" si="25"/>
        <v>63</v>
      </c>
      <c r="X39" s="13">
        <f t="shared" si="26"/>
        <v>6</v>
      </c>
      <c r="Y39" s="12" t="s">
        <v>327</v>
      </c>
      <c r="Z39" s="30">
        <f t="shared" si="27"/>
        <v>135</v>
      </c>
      <c r="AA39" s="13" t="s">
        <v>199</v>
      </c>
      <c r="AB39">
        <v>1</v>
      </c>
    </row>
    <row r="40" spans="1:28" x14ac:dyDescent="0.3">
      <c r="A40" s="19" t="s">
        <v>95</v>
      </c>
      <c r="B40" s="20">
        <v>5</v>
      </c>
      <c r="C40" s="20" t="s">
        <v>331</v>
      </c>
      <c r="D40" s="22" t="s">
        <v>197</v>
      </c>
      <c r="E40" s="9">
        <v>1</v>
      </c>
      <c r="F40" s="10">
        <v>1</v>
      </c>
      <c r="G40" s="11">
        <v>1</v>
      </c>
      <c r="H40" s="12">
        <v>1</v>
      </c>
      <c r="I40" s="10">
        <f t="shared" si="14"/>
        <v>6</v>
      </c>
      <c r="J40" s="11">
        <f t="shared" si="15"/>
        <v>9</v>
      </c>
      <c r="K40" s="11">
        <f t="shared" si="16"/>
        <v>9</v>
      </c>
      <c r="L40" s="13">
        <f t="shared" si="17"/>
        <v>0</v>
      </c>
      <c r="M40" s="14">
        <f t="shared" si="18"/>
        <v>46</v>
      </c>
      <c r="N40" s="6" t="s">
        <v>286</v>
      </c>
      <c r="O40" s="10">
        <f t="shared" si="19"/>
        <v>129</v>
      </c>
      <c r="P40" s="11">
        <f t="shared" si="20"/>
        <v>105</v>
      </c>
      <c r="Q40" s="13">
        <f t="shared" si="21"/>
        <v>33</v>
      </c>
      <c r="R40" s="35" t="s">
        <v>349</v>
      </c>
      <c r="S40" s="34">
        <f t="shared" si="22"/>
        <v>18</v>
      </c>
      <c r="T40" s="33" t="s">
        <v>318</v>
      </c>
      <c r="U40" s="9">
        <f t="shared" si="23"/>
        <v>3</v>
      </c>
      <c r="V40" s="10">
        <f t="shared" si="24"/>
        <v>114</v>
      </c>
      <c r="W40" s="11">
        <f t="shared" si="25"/>
        <v>63</v>
      </c>
      <c r="X40" s="13">
        <f t="shared" si="26"/>
        <v>9</v>
      </c>
      <c r="Y40" s="12" t="s">
        <v>325</v>
      </c>
      <c r="Z40" s="30">
        <f t="shared" si="27"/>
        <v>165</v>
      </c>
      <c r="AA40" s="13" t="s">
        <v>200</v>
      </c>
      <c r="AB40">
        <v>1</v>
      </c>
    </row>
    <row r="41" spans="1:28" x14ac:dyDescent="0.3">
      <c r="A41" s="19" t="s">
        <v>96</v>
      </c>
      <c r="B41" s="20">
        <v>5</v>
      </c>
      <c r="C41" s="20" t="s">
        <v>331</v>
      </c>
      <c r="D41" s="18" t="s">
        <v>193</v>
      </c>
      <c r="E41" s="9">
        <v>3</v>
      </c>
      <c r="F41" s="10">
        <v>1</v>
      </c>
      <c r="G41" s="11">
        <v>1</v>
      </c>
      <c r="H41" s="12">
        <v>1</v>
      </c>
      <c r="I41" s="10">
        <f t="shared" si="14"/>
        <v>6</v>
      </c>
      <c r="J41" s="11">
        <f t="shared" si="15"/>
        <v>9</v>
      </c>
      <c r="K41" s="11">
        <f t="shared" si="16"/>
        <v>0</v>
      </c>
      <c r="L41" s="13">
        <f t="shared" si="17"/>
        <v>0</v>
      </c>
      <c r="M41" s="14">
        <f t="shared" si="18"/>
        <v>40</v>
      </c>
      <c r="N41" s="6" t="s">
        <v>281</v>
      </c>
      <c r="O41" s="10">
        <f t="shared" si="19"/>
        <v>129</v>
      </c>
      <c r="P41" s="11">
        <f t="shared" si="20"/>
        <v>93</v>
      </c>
      <c r="Q41" s="13">
        <f t="shared" si="21"/>
        <v>18</v>
      </c>
      <c r="R41" s="35" t="s">
        <v>353</v>
      </c>
      <c r="S41" s="34">
        <f t="shared" si="22"/>
        <v>18</v>
      </c>
      <c r="T41" s="33" t="s">
        <v>318</v>
      </c>
      <c r="U41" s="9">
        <f t="shared" si="23"/>
        <v>3</v>
      </c>
      <c r="V41" s="10">
        <f t="shared" si="24"/>
        <v>114</v>
      </c>
      <c r="W41" s="11">
        <f t="shared" si="25"/>
        <v>63</v>
      </c>
      <c r="X41" s="13">
        <f t="shared" si="26"/>
        <v>9</v>
      </c>
      <c r="Y41" s="12" t="s">
        <v>325</v>
      </c>
      <c r="Z41" s="30">
        <f t="shared" si="27"/>
        <v>135</v>
      </c>
      <c r="AA41" s="13" t="s">
        <v>198</v>
      </c>
      <c r="AB41">
        <v>1</v>
      </c>
    </row>
    <row r="42" spans="1:28" ht="28.8" x14ac:dyDescent="0.3">
      <c r="A42" s="19" t="s">
        <v>110</v>
      </c>
      <c r="B42" s="20">
        <v>5</v>
      </c>
      <c r="C42" s="20" t="s">
        <v>331</v>
      </c>
      <c r="D42" s="18" t="s">
        <v>193</v>
      </c>
      <c r="E42" s="9">
        <v>6</v>
      </c>
      <c r="F42" s="10">
        <v>9</v>
      </c>
      <c r="G42" s="11">
        <v>6</v>
      </c>
      <c r="H42" s="12">
        <v>3</v>
      </c>
      <c r="I42" s="10">
        <f t="shared" si="14"/>
        <v>0</v>
      </c>
      <c r="J42" s="11">
        <f t="shared" si="15"/>
        <v>0</v>
      </c>
      <c r="K42" s="11">
        <f t="shared" si="16"/>
        <v>0</v>
      </c>
      <c r="L42" s="13">
        <f t="shared" si="17"/>
        <v>0</v>
      </c>
      <c r="M42" s="14">
        <f t="shared" si="18"/>
        <v>0</v>
      </c>
      <c r="N42" s="6" t="s">
        <v>281</v>
      </c>
      <c r="O42" s="10">
        <f t="shared" si="19"/>
        <v>74</v>
      </c>
      <c r="P42" s="11">
        <f t="shared" si="20"/>
        <v>19</v>
      </c>
      <c r="Q42" s="13">
        <f t="shared" si="21"/>
        <v>0</v>
      </c>
      <c r="R42" s="35" t="s">
        <v>351</v>
      </c>
      <c r="S42" s="34">
        <f t="shared" si="22"/>
        <v>14</v>
      </c>
      <c r="T42" s="33" t="s">
        <v>320</v>
      </c>
      <c r="U42" s="9">
        <f t="shared" si="23"/>
        <v>3</v>
      </c>
      <c r="V42" s="10">
        <f t="shared" si="24"/>
        <v>92</v>
      </c>
      <c r="W42" s="11">
        <f t="shared" si="25"/>
        <v>19</v>
      </c>
      <c r="X42" s="13">
        <f t="shared" si="26"/>
        <v>0</v>
      </c>
      <c r="Y42" s="12" t="s">
        <v>324</v>
      </c>
      <c r="Z42" s="30">
        <f t="shared" si="27"/>
        <v>0</v>
      </c>
      <c r="AA42" s="13" t="s">
        <v>202</v>
      </c>
      <c r="AB42">
        <v>1</v>
      </c>
    </row>
    <row r="43" spans="1:28" x14ac:dyDescent="0.3">
      <c r="A43" s="19" t="s">
        <v>122</v>
      </c>
      <c r="B43" s="20">
        <v>5</v>
      </c>
      <c r="C43" s="20" t="s">
        <v>331</v>
      </c>
      <c r="D43" s="23" t="s">
        <v>195</v>
      </c>
      <c r="E43" s="9">
        <v>6</v>
      </c>
      <c r="F43" s="10">
        <v>2</v>
      </c>
      <c r="G43" s="11">
        <v>2</v>
      </c>
      <c r="H43" s="12">
        <v>9</v>
      </c>
      <c r="I43" s="10">
        <f t="shared" si="14"/>
        <v>0</v>
      </c>
      <c r="J43" s="11">
        <f t="shared" si="15"/>
        <v>0</v>
      </c>
      <c r="K43" s="11">
        <f t="shared" si="16"/>
        <v>0</v>
      </c>
      <c r="L43" s="13">
        <f t="shared" si="17"/>
        <v>0</v>
      </c>
      <c r="M43" s="14">
        <f t="shared" si="18"/>
        <v>0</v>
      </c>
      <c r="N43" s="6" t="s">
        <v>282</v>
      </c>
      <c r="O43" s="10">
        <f t="shared" si="19"/>
        <v>74</v>
      </c>
      <c r="P43" s="11">
        <f t="shared" si="20"/>
        <v>53</v>
      </c>
      <c r="Q43" s="13">
        <f t="shared" si="21"/>
        <v>0</v>
      </c>
      <c r="R43" s="35" t="s">
        <v>354</v>
      </c>
      <c r="S43" s="34">
        <f t="shared" si="22"/>
        <v>14</v>
      </c>
      <c r="T43" s="33" t="s">
        <v>320</v>
      </c>
      <c r="U43" s="9">
        <f t="shared" si="23"/>
        <v>3</v>
      </c>
      <c r="V43" s="10">
        <f t="shared" si="24"/>
        <v>92</v>
      </c>
      <c r="W43" s="11">
        <f t="shared" si="25"/>
        <v>42</v>
      </c>
      <c r="X43" s="13">
        <f t="shared" si="26"/>
        <v>0</v>
      </c>
      <c r="Y43" s="12" t="s">
        <v>325</v>
      </c>
      <c r="Z43" s="30">
        <f t="shared" si="27"/>
        <v>0</v>
      </c>
      <c r="AA43" s="13" t="s">
        <v>202</v>
      </c>
      <c r="AB43">
        <v>1</v>
      </c>
    </row>
    <row r="44" spans="1:28" x14ac:dyDescent="0.3">
      <c r="A44" s="19" t="s">
        <v>160</v>
      </c>
      <c r="B44" s="20">
        <v>5</v>
      </c>
      <c r="C44" s="20" t="s">
        <v>331</v>
      </c>
      <c r="D44" s="8" t="s">
        <v>194</v>
      </c>
      <c r="E44" s="9">
        <v>3</v>
      </c>
      <c r="F44" s="10">
        <v>1</v>
      </c>
      <c r="G44" s="11">
        <v>1</v>
      </c>
      <c r="H44" s="12">
        <v>1</v>
      </c>
      <c r="I44" s="10">
        <f t="shared" si="14"/>
        <v>6</v>
      </c>
      <c r="J44" s="11">
        <f t="shared" si="15"/>
        <v>9</v>
      </c>
      <c r="K44" s="11">
        <f t="shared" si="16"/>
        <v>0</v>
      </c>
      <c r="L44" s="13">
        <f t="shared" si="17"/>
        <v>0</v>
      </c>
      <c r="M44" s="14">
        <f t="shared" si="18"/>
        <v>40</v>
      </c>
      <c r="N44" s="6" t="s">
        <v>279</v>
      </c>
      <c r="O44" s="10">
        <f t="shared" si="19"/>
        <v>129</v>
      </c>
      <c r="P44" s="11">
        <f t="shared" si="20"/>
        <v>93</v>
      </c>
      <c r="Q44" s="13">
        <f t="shared" si="21"/>
        <v>18</v>
      </c>
      <c r="R44" s="35" t="s">
        <v>356</v>
      </c>
      <c r="S44" s="34">
        <f t="shared" si="22"/>
        <v>18</v>
      </c>
      <c r="T44" s="33" t="s">
        <v>308</v>
      </c>
      <c r="U44" s="9">
        <f t="shared" si="23"/>
        <v>3</v>
      </c>
      <c r="V44" s="10">
        <f t="shared" si="24"/>
        <v>114</v>
      </c>
      <c r="W44" s="11">
        <f t="shared" si="25"/>
        <v>63</v>
      </c>
      <c r="X44" s="13">
        <f t="shared" si="26"/>
        <v>9</v>
      </c>
      <c r="Y44" s="12" t="s">
        <v>324</v>
      </c>
      <c r="Z44" s="30">
        <f t="shared" si="27"/>
        <v>135</v>
      </c>
      <c r="AA44" s="13" t="s">
        <v>220</v>
      </c>
      <c r="AB44">
        <v>0</v>
      </c>
    </row>
    <row r="45" spans="1:28" x14ac:dyDescent="0.3">
      <c r="A45" s="19" t="s">
        <v>163</v>
      </c>
      <c r="B45" s="20">
        <v>5</v>
      </c>
      <c r="C45" s="20" t="s">
        <v>331</v>
      </c>
      <c r="D45" s="8" t="s">
        <v>194</v>
      </c>
      <c r="E45" s="9">
        <v>0</v>
      </c>
      <c r="F45" s="10">
        <v>0</v>
      </c>
      <c r="G45" s="11">
        <v>0</v>
      </c>
      <c r="H45" s="12">
        <v>0</v>
      </c>
      <c r="I45" s="10">
        <f t="shared" si="14"/>
        <v>6</v>
      </c>
      <c r="J45" s="11">
        <f t="shared" si="15"/>
        <v>9</v>
      </c>
      <c r="K45" s="11">
        <f t="shared" si="16"/>
        <v>9</v>
      </c>
      <c r="L45" s="13">
        <f t="shared" si="17"/>
        <v>1</v>
      </c>
      <c r="M45" s="14">
        <f t="shared" si="18"/>
        <v>46</v>
      </c>
      <c r="N45" s="6" t="s">
        <v>279</v>
      </c>
      <c r="O45" s="10">
        <f t="shared" si="19"/>
        <v>129</v>
      </c>
      <c r="P45" s="11">
        <f t="shared" si="20"/>
        <v>105</v>
      </c>
      <c r="Q45" s="13">
        <f t="shared" si="21"/>
        <v>36</v>
      </c>
      <c r="R45" s="35" t="s">
        <v>349</v>
      </c>
      <c r="S45" s="34">
        <f t="shared" si="22"/>
        <v>18</v>
      </c>
      <c r="T45" s="33" t="s">
        <v>311</v>
      </c>
      <c r="U45" s="9">
        <f t="shared" si="23"/>
        <v>3</v>
      </c>
      <c r="V45" s="10">
        <f t="shared" si="24"/>
        <v>114</v>
      </c>
      <c r="W45" s="11">
        <f t="shared" si="25"/>
        <v>63</v>
      </c>
      <c r="X45" s="13">
        <f t="shared" si="26"/>
        <v>9</v>
      </c>
      <c r="Y45" s="12" t="s">
        <v>325</v>
      </c>
      <c r="Z45" s="30">
        <f t="shared" si="27"/>
        <v>168</v>
      </c>
      <c r="AA45" s="13" t="s">
        <v>200</v>
      </c>
      <c r="AB45">
        <v>1</v>
      </c>
    </row>
    <row r="46" spans="1:28" ht="28.8" x14ac:dyDescent="0.3">
      <c r="A46" s="15" t="s">
        <v>89</v>
      </c>
      <c r="B46" s="7">
        <v>4</v>
      </c>
      <c r="C46" s="7" t="s">
        <v>331</v>
      </c>
      <c r="D46" s="23" t="s">
        <v>195</v>
      </c>
      <c r="E46" s="9">
        <v>3</v>
      </c>
      <c r="F46" s="10">
        <v>2</v>
      </c>
      <c r="G46" s="11">
        <v>2</v>
      </c>
      <c r="H46" s="12">
        <v>1</v>
      </c>
      <c r="I46" s="10">
        <f t="shared" si="14"/>
        <v>6</v>
      </c>
      <c r="J46" s="11">
        <f t="shared" si="15"/>
        <v>9</v>
      </c>
      <c r="K46" s="11">
        <f t="shared" si="16"/>
        <v>0</v>
      </c>
      <c r="L46" s="13">
        <f t="shared" si="17"/>
        <v>0</v>
      </c>
      <c r="M46" s="14">
        <f t="shared" si="18"/>
        <v>40</v>
      </c>
      <c r="N46" s="6" t="s">
        <v>282</v>
      </c>
      <c r="O46" s="10">
        <f t="shared" si="19"/>
        <v>129</v>
      </c>
      <c r="P46" s="11">
        <f t="shared" si="20"/>
        <v>93</v>
      </c>
      <c r="Q46" s="13">
        <f t="shared" si="21"/>
        <v>6</v>
      </c>
      <c r="R46" s="35" t="s">
        <v>351</v>
      </c>
      <c r="S46" s="34">
        <f t="shared" si="22"/>
        <v>18</v>
      </c>
      <c r="T46" s="33" t="s">
        <v>320</v>
      </c>
      <c r="U46" s="9">
        <f t="shared" si="23"/>
        <v>3</v>
      </c>
      <c r="V46" s="10">
        <f t="shared" si="24"/>
        <v>114</v>
      </c>
      <c r="W46" s="11">
        <f t="shared" si="25"/>
        <v>63</v>
      </c>
      <c r="X46" s="13">
        <f t="shared" si="26"/>
        <v>3</v>
      </c>
      <c r="Y46" s="12" t="s">
        <v>324</v>
      </c>
      <c r="Z46" s="30">
        <f t="shared" si="27"/>
        <v>135</v>
      </c>
      <c r="AA46" s="13" t="s">
        <v>202</v>
      </c>
      <c r="AB46">
        <v>1</v>
      </c>
    </row>
    <row r="47" spans="1:28" ht="28.8" x14ac:dyDescent="0.3">
      <c r="A47" s="15" t="s">
        <v>90</v>
      </c>
      <c r="B47" s="7">
        <v>4</v>
      </c>
      <c r="C47" s="7" t="s">
        <v>331</v>
      </c>
      <c r="D47" s="18" t="s">
        <v>193</v>
      </c>
      <c r="E47" s="9">
        <v>6</v>
      </c>
      <c r="F47" s="10">
        <v>2</v>
      </c>
      <c r="G47" s="11">
        <v>5</v>
      </c>
      <c r="H47" s="12">
        <v>10</v>
      </c>
      <c r="I47" s="10">
        <f t="shared" si="14"/>
        <v>0</v>
      </c>
      <c r="J47" s="11">
        <f t="shared" si="15"/>
        <v>0</v>
      </c>
      <c r="K47" s="11">
        <f t="shared" si="16"/>
        <v>0</v>
      </c>
      <c r="L47" s="13">
        <f t="shared" si="17"/>
        <v>0</v>
      </c>
      <c r="M47" s="14">
        <f t="shared" si="18"/>
        <v>0</v>
      </c>
      <c r="N47" s="6" t="s">
        <v>281</v>
      </c>
      <c r="O47" s="10">
        <f t="shared" si="19"/>
        <v>62</v>
      </c>
      <c r="P47" s="11">
        <f t="shared" si="20"/>
        <v>53</v>
      </c>
      <c r="Q47" s="13">
        <f t="shared" si="21"/>
        <v>0</v>
      </c>
      <c r="R47" s="35" t="s">
        <v>352</v>
      </c>
      <c r="S47" s="34">
        <f t="shared" si="22"/>
        <v>12</v>
      </c>
      <c r="T47" s="33" t="s">
        <v>318</v>
      </c>
      <c r="U47" s="9">
        <f t="shared" si="23"/>
        <v>2</v>
      </c>
      <c r="V47" s="10">
        <f t="shared" si="24"/>
        <v>76</v>
      </c>
      <c r="W47" s="11">
        <f t="shared" si="25"/>
        <v>42</v>
      </c>
      <c r="X47" s="13">
        <f t="shared" si="26"/>
        <v>0</v>
      </c>
      <c r="Y47" s="12" t="s">
        <v>325</v>
      </c>
      <c r="Z47" s="30">
        <f t="shared" si="27"/>
        <v>0</v>
      </c>
      <c r="AA47" s="13" t="s">
        <v>204</v>
      </c>
      <c r="AB47">
        <v>1</v>
      </c>
    </row>
    <row r="48" spans="1:28" ht="28.8" x14ac:dyDescent="0.3">
      <c r="A48" s="15" t="s">
        <v>97</v>
      </c>
      <c r="B48" s="7">
        <v>4</v>
      </c>
      <c r="C48" s="7" t="s">
        <v>331</v>
      </c>
      <c r="D48" s="8" t="s">
        <v>194</v>
      </c>
      <c r="E48" s="9">
        <v>3</v>
      </c>
      <c r="F48" s="10">
        <v>1</v>
      </c>
      <c r="G48" s="11">
        <v>1</v>
      </c>
      <c r="H48" s="12">
        <v>1</v>
      </c>
      <c r="I48" s="10">
        <f t="shared" si="14"/>
        <v>6</v>
      </c>
      <c r="J48" s="11">
        <f t="shared" si="15"/>
        <v>9</v>
      </c>
      <c r="K48" s="11">
        <f t="shared" si="16"/>
        <v>0</v>
      </c>
      <c r="L48" s="13">
        <f t="shared" si="17"/>
        <v>0</v>
      </c>
      <c r="M48" s="14">
        <f t="shared" si="18"/>
        <v>40</v>
      </c>
      <c r="N48" s="6" t="s">
        <v>285</v>
      </c>
      <c r="O48" s="10">
        <f t="shared" si="19"/>
        <v>129</v>
      </c>
      <c r="P48" s="11">
        <f t="shared" si="20"/>
        <v>93</v>
      </c>
      <c r="Q48" s="13">
        <f t="shared" si="21"/>
        <v>18</v>
      </c>
      <c r="R48" s="35" t="s">
        <v>350</v>
      </c>
      <c r="S48" s="34">
        <f t="shared" si="22"/>
        <v>18</v>
      </c>
      <c r="T48" s="33" t="s">
        <v>314</v>
      </c>
      <c r="U48" s="9">
        <f t="shared" si="23"/>
        <v>3</v>
      </c>
      <c r="V48" s="10">
        <f t="shared" si="24"/>
        <v>114</v>
      </c>
      <c r="W48" s="11">
        <f t="shared" si="25"/>
        <v>63</v>
      </c>
      <c r="X48" s="13">
        <f t="shared" si="26"/>
        <v>9</v>
      </c>
      <c r="Y48" s="12" t="s">
        <v>324</v>
      </c>
      <c r="Z48" s="30">
        <f t="shared" si="27"/>
        <v>135</v>
      </c>
      <c r="AA48" s="13" t="s">
        <v>201</v>
      </c>
      <c r="AB48">
        <v>1</v>
      </c>
    </row>
    <row r="49" spans="1:28" ht="28.8" x14ac:dyDescent="0.3">
      <c r="A49" s="15" t="s">
        <v>116</v>
      </c>
      <c r="B49" s="7">
        <v>4</v>
      </c>
      <c r="C49" s="7" t="s">
        <v>331</v>
      </c>
      <c r="D49" s="8" t="s">
        <v>194</v>
      </c>
      <c r="E49" s="9">
        <v>6</v>
      </c>
      <c r="F49" s="10">
        <v>10</v>
      </c>
      <c r="G49" s="11">
        <v>8</v>
      </c>
      <c r="H49" s="12">
        <v>5</v>
      </c>
      <c r="I49" s="10">
        <f t="shared" si="14"/>
        <v>0</v>
      </c>
      <c r="J49" s="11">
        <f t="shared" si="15"/>
        <v>0</v>
      </c>
      <c r="K49" s="11">
        <f t="shared" si="16"/>
        <v>0</v>
      </c>
      <c r="L49" s="13">
        <f t="shared" si="17"/>
        <v>0</v>
      </c>
      <c r="M49" s="14">
        <f t="shared" si="18"/>
        <v>0</v>
      </c>
      <c r="N49" s="6" t="s">
        <v>285</v>
      </c>
      <c r="O49" s="10">
        <f t="shared" si="19"/>
        <v>52</v>
      </c>
      <c r="P49" s="11">
        <f t="shared" si="20"/>
        <v>9</v>
      </c>
      <c r="Q49" s="13">
        <f t="shared" si="21"/>
        <v>0</v>
      </c>
      <c r="R49" s="35" t="s">
        <v>352</v>
      </c>
      <c r="S49" s="34">
        <f t="shared" si="22"/>
        <v>10</v>
      </c>
      <c r="T49" s="33" t="s">
        <v>319</v>
      </c>
      <c r="U49" s="9">
        <f t="shared" si="23"/>
        <v>2</v>
      </c>
      <c r="V49" s="10">
        <f t="shared" si="24"/>
        <v>66</v>
      </c>
      <c r="W49" s="11">
        <f t="shared" si="25"/>
        <v>9</v>
      </c>
      <c r="X49" s="13">
        <f t="shared" si="26"/>
        <v>0</v>
      </c>
      <c r="Y49" s="12" t="s">
        <v>327</v>
      </c>
      <c r="Z49" s="30">
        <f t="shared" si="27"/>
        <v>0</v>
      </c>
      <c r="AA49" s="13" t="s">
        <v>201</v>
      </c>
      <c r="AB49">
        <v>1</v>
      </c>
    </row>
    <row r="50" spans="1:28" x14ac:dyDescent="0.3">
      <c r="A50" s="15" t="s">
        <v>118</v>
      </c>
      <c r="B50" s="7">
        <v>4</v>
      </c>
      <c r="C50" s="7" t="s">
        <v>331</v>
      </c>
      <c r="D50" s="16" t="s">
        <v>196</v>
      </c>
      <c r="E50" s="9">
        <v>3</v>
      </c>
      <c r="F50" s="10">
        <v>2</v>
      </c>
      <c r="G50" s="11">
        <v>2</v>
      </c>
      <c r="H50" s="12">
        <v>2</v>
      </c>
      <c r="I50" s="10">
        <f t="shared" si="14"/>
        <v>6</v>
      </c>
      <c r="J50" s="11">
        <f t="shared" si="15"/>
        <v>9</v>
      </c>
      <c r="K50" s="11">
        <f t="shared" si="16"/>
        <v>0</v>
      </c>
      <c r="L50" s="13">
        <f t="shared" si="17"/>
        <v>0</v>
      </c>
      <c r="M50" s="14">
        <f t="shared" si="18"/>
        <v>40</v>
      </c>
      <c r="N50" s="6" t="s">
        <v>284</v>
      </c>
      <c r="O50" s="10">
        <f t="shared" si="19"/>
        <v>129</v>
      </c>
      <c r="P50" s="11">
        <f t="shared" si="20"/>
        <v>93</v>
      </c>
      <c r="Q50" s="13">
        <f t="shared" si="21"/>
        <v>0</v>
      </c>
      <c r="R50" s="35" t="s">
        <v>348</v>
      </c>
      <c r="S50" s="34">
        <f t="shared" si="22"/>
        <v>18</v>
      </c>
      <c r="T50" s="33" t="s">
        <v>317</v>
      </c>
      <c r="U50" s="9">
        <f t="shared" si="23"/>
        <v>3</v>
      </c>
      <c r="V50" s="10">
        <f t="shared" si="24"/>
        <v>114</v>
      </c>
      <c r="W50" s="11">
        <f t="shared" si="25"/>
        <v>63</v>
      </c>
      <c r="X50" s="13">
        <f t="shared" si="26"/>
        <v>0</v>
      </c>
      <c r="Y50" s="12" t="s">
        <v>327</v>
      </c>
      <c r="Z50" s="30">
        <f t="shared" si="27"/>
        <v>135</v>
      </c>
      <c r="AA50" s="13" t="s">
        <v>205</v>
      </c>
      <c r="AB50" t="s">
        <v>373</v>
      </c>
    </row>
    <row r="51" spans="1:28" x14ac:dyDescent="0.3">
      <c r="A51" s="15" t="s">
        <v>121</v>
      </c>
      <c r="B51" s="7">
        <v>4</v>
      </c>
      <c r="C51" s="7" t="s">
        <v>331</v>
      </c>
      <c r="D51" s="8" t="s">
        <v>194</v>
      </c>
      <c r="E51" s="9">
        <v>1</v>
      </c>
      <c r="F51" s="10">
        <v>1</v>
      </c>
      <c r="G51" s="11">
        <v>1</v>
      </c>
      <c r="H51" s="12">
        <v>1</v>
      </c>
      <c r="I51" s="10">
        <f t="shared" si="14"/>
        <v>6</v>
      </c>
      <c r="J51" s="11">
        <f t="shared" si="15"/>
        <v>9</v>
      </c>
      <c r="K51" s="11">
        <f t="shared" si="16"/>
        <v>9</v>
      </c>
      <c r="L51" s="13">
        <f t="shared" si="17"/>
        <v>0</v>
      </c>
      <c r="M51" s="14">
        <f t="shared" si="18"/>
        <v>46</v>
      </c>
      <c r="N51" s="6" t="s">
        <v>265</v>
      </c>
      <c r="O51" s="10">
        <f t="shared" si="19"/>
        <v>129</v>
      </c>
      <c r="P51" s="11">
        <f t="shared" si="20"/>
        <v>105</v>
      </c>
      <c r="Q51" s="13">
        <f t="shared" si="21"/>
        <v>33</v>
      </c>
      <c r="R51" s="35" t="s">
        <v>353</v>
      </c>
      <c r="S51" s="34">
        <f t="shared" si="22"/>
        <v>18</v>
      </c>
      <c r="T51" s="33" t="s">
        <v>302</v>
      </c>
      <c r="U51" s="9">
        <f t="shared" si="23"/>
        <v>3</v>
      </c>
      <c r="V51" s="10">
        <f t="shared" si="24"/>
        <v>114</v>
      </c>
      <c r="W51" s="11">
        <f t="shared" si="25"/>
        <v>63</v>
      </c>
      <c r="X51" s="13">
        <f t="shared" si="26"/>
        <v>9</v>
      </c>
      <c r="Y51" s="12" t="s">
        <v>327</v>
      </c>
      <c r="Z51" s="30">
        <f t="shared" si="27"/>
        <v>165</v>
      </c>
      <c r="AA51" s="13" t="s">
        <v>203</v>
      </c>
      <c r="AB51" t="s">
        <v>373</v>
      </c>
    </row>
    <row r="52" spans="1:28" x14ac:dyDescent="0.3">
      <c r="A52" s="15" t="s">
        <v>129</v>
      </c>
      <c r="B52" s="7">
        <v>4</v>
      </c>
      <c r="C52" s="7" t="s">
        <v>331</v>
      </c>
      <c r="D52" s="17" t="s">
        <v>192</v>
      </c>
      <c r="E52" s="9">
        <v>3</v>
      </c>
      <c r="F52" s="10">
        <v>4</v>
      </c>
      <c r="G52" s="11">
        <v>4</v>
      </c>
      <c r="H52" s="12">
        <v>4</v>
      </c>
      <c r="I52" s="10">
        <f t="shared" si="14"/>
        <v>6</v>
      </c>
      <c r="J52" s="11">
        <f t="shared" si="15"/>
        <v>9</v>
      </c>
      <c r="K52" s="11">
        <f t="shared" si="16"/>
        <v>0</v>
      </c>
      <c r="L52" s="13">
        <f t="shared" si="17"/>
        <v>0</v>
      </c>
      <c r="M52" s="14">
        <f t="shared" si="18"/>
        <v>40</v>
      </c>
      <c r="N52" s="6" t="s">
        <v>283</v>
      </c>
      <c r="O52" s="10">
        <f t="shared" si="19"/>
        <v>129</v>
      </c>
      <c r="P52" s="11">
        <f t="shared" si="20"/>
        <v>79</v>
      </c>
      <c r="Q52" s="13">
        <f t="shared" si="21"/>
        <v>0</v>
      </c>
      <c r="R52" s="35" t="s">
        <v>349</v>
      </c>
      <c r="S52" s="34">
        <f t="shared" si="22"/>
        <v>18</v>
      </c>
      <c r="T52" s="33" t="s">
        <v>317</v>
      </c>
      <c r="U52" s="9">
        <f t="shared" si="23"/>
        <v>3</v>
      </c>
      <c r="V52" s="10">
        <f t="shared" si="24"/>
        <v>114</v>
      </c>
      <c r="W52" s="11">
        <f t="shared" si="25"/>
        <v>45</v>
      </c>
      <c r="X52" s="13">
        <f t="shared" si="26"/>
        <v>0</v>
      </c>
      <c r="Y52" s="12" t="s">
        <v>325</v>
      </c>
      <c r="Z52" s="30">
        <f t="shared" si="27"/>
        <v>135</v>
      </c>
      <c r="AA52" s="13" t="s">
        <v>205</v>
      </c>
      <c r="AB52">
        <v>1</v>
      </c>
    </row>
    <row r="53" spans="1:28" x14ac:dyDescent="0.3">
      <c r="A53" s="15" t="s">
        <v>131</v>
      </c>
      <c r="B53" s="7">
        <v>4</v>
      </c>
      <c r="C53" s="7" t="s">
        <v>331</v>
      </c>
      <c r="D53" s="8" t="s">
        <v>194</v>
      </c>
      <c r="E53" s="9">
        <v>3</v>
      </c>
      <c r="F53" s="10">
        <v>4</v>
      </c>
      <c r="G53" s="11">
        <v>4</v>
      </c>
      <c r="H53" s="12">
        <v>2</v>
      </c>
      <c r="I53" s="10">
        <f t="shared" si="14"/>
        <v>6</v>
      </c>
      <c r="J53" s="11">
        <f t="shared" si="15"/>
        <v>9</v>
      </c>
      <c r="K53" s="11">
        <f t="shared" si="16"/>
        <v>0</v>
      </c>
      <c r="L53" s="13">
        <f t="shared" si="17"/>
        <v>0</v>
      </c>
      <c r="M53" s="14">
        <f t="shared" si="18"/>
        <v>40</v>
      </c>
      <c r="N53" s="6" t="s">
        <v>285</v>
      </c>
      <c r="O53" s="10">
        <f t="shared" si="19"/>
        <v>129</v>
      </c>
      <c r="P53" s="11">
        <f t="shared" si="20"/>
        <v>86</v>
      </c>
      <c r="Q53" s="13">
        <f t="shared" si="21"/>
        <v>0</v>
      </c>
      <c r="R53" s="35" t="s">
        <v>353</v>
      </c>
      <c r="S53" s="34">
        <f t="shared" si="22"/>
        <v>18</v>
      </c>
      <c r="T53" s="33" t="s">
        <v>313</v>
      </c>
      <c r="U53" s="9">
        <f t="shared" si="23"/>
        <v>3</v>
      </c>
      <c r="V53" s="10">
        <f t="shared" si="24"/>
        <v>114</v>
      </c>
      <c r="W53" s="11">
        <f t="shared" si="25"/>
        <v>51</v>
      </c>
      <c r="X53" s="13">
        <f t="shared" si="26"/>
        <v>0</v>
      </c>
      <c r="Y53" s="12" t="s">
        <v>327</v>
      </c>
      <c r="Z53" s="30">
        <f t="shared" si="27"/>
        <v>135</v>
      </c>
      <c r="AA53" s="13" t="s">
        <v>205</v>
      </c>
      <c r="AB53">
        <v>1</v>
      </c>
    </row>
    <row r="54" spans="1:28" x14ac:dyDescent="0.3">
      <c r="A54" s="15" t="s">
        <v>132</v>
      </c>
      <c r="B54" s="7">
        <v>4</v>
      </c>
      <c r="C54" s="7" t="s">
        <v>331</v>
      </c>
      <c r="D54" s="16" t="s">
        <v>196</v>
      </c>
      <c r="E54" s="9">
        <v>3</v>
      </c>
      <c r="F54" s="10">
        <v>1</v>
      </c>
      <c r="G54" s="11">
        <v>1</v>
      </c>
      <c r="H54" s="12">
        <v>1</v>
      </c>
      <c r="I54" s="10">
        <f t="shared" si="14"/>
        <v>6</v>
      </c>
      <c r="J54" s="11">
        <f t="shared" si="15"/>
        <v>9</v>
      </c>
      <c r="K54" s="11">
        <f t="shared" si="16"/>
        <v>0</v>
      </c>
      <c r="L54" s="13">
        <f t="shared" si="17"/>
        <v>0</v>
      </c>
      <c r="M54" s="14">
        <f t="shared" si="18"/>
        <v>40</v>
      </c>
      <c r="N54" s="6" t="s">
        <v>284</v>
      </c>
      <c r="O54" s="10">
        <f t="shared" si="19"/>
        <v>129</v>
      </c>
      <c r="P54" s="11">
        <f t="shared" si="20"/>
        <v>93</v>
      </c>
      <c r="Q54" s="13">
        <f t="shared" si="21"/>
        <v>18</v>
      </c>
      <c r="R54" s="35" t="s">
        <v>349</v>
      </c>
      <c r="S54" s="34">
        <f t="shared" si="22"/>
        <v>18</v>
      </c>
      <c r="T54" s="33" t="s">
        <v>317</v>
      </c>
      <c r="U54" s="9">
        <f t="shared" si="23"/>
        <v>3</v>
      </c>
      <c r="V54" s="10">
        <f t="shared" si="24"/>
        <v>114</v>
      </c>
      <c r="W54" s="11">
        <f t="shared" si="25"/>
        <v>63</v>
      </c>
      <c r="X54" s="13">
        <f t="shared" si="26"/>
        <v>9</v>
      </c>
      <c r="Y54" s="12" t="s">
        <v>325</v>
      </c>
      <c r="Z54" s="30">
        <f t="shared" si="27"/>
        <v>135</v>
      </c>
      <c r="AA54" s="13" t="s">
        <v>203</v>
      </c>
      <c r="AB54">
        <v>1</v>
      </c>
    </row>
    <row r="55" spans="1:28" x14ac:dyDescent="0.3">
      <c r="A55" s="15" t="s">
        <v>135</v>
      </c>
      <c r="B55" s="7">
        <v>4</v>
      </c>
      <c r="C55" s="7" t="s">
        <v>331</v>
      </c>
      <c r="D55" s="22" t="s">
        <v>197</v>
      </c>
      <c r="E55" s="9">
        <v>6</v>
      </c>
      <c r="F55" s="10">
        <v>2</v>
      </c>
      <c r="G55" s="11">
        <v>4</v>
      </c>
      <c r="H55" s="12">
        <v>8</v>
      </c>
      <c r="I55" s="10">
        <f t="shared" si="14"/>
        <v>0</v>
      </c>
      <c r="J55" s="11">
        <f t="shared" si="15"/>
        <v>0</v>
      </c>
      <c r="K55" s="11">
        <f t="shared" si="16"/>
        <v>0</v>
      </c>
      <c r="L55" s="13">
        <f t="shared" si="17"/>
        <v>0</v>
      </c>
      <c r="M55" s="14">
        <f t="shared" si="18"/>
        <v>0</v>
      </c>
      <c r="N55" s="6" t="s">
        <v>286</v>
      </c>
      <c r="O55" s="10">
        <f t="shared" si="19"/>
        <v>83</v>
      </c>
      <c r="P55" s="11">
        <f t="shared" si="20"/>
        <v>53</v>
      </c>
      <c r="Q55" s="13">
        <f t="shared" si="21"/>
        <v>0</v>
      </c>
      <c r="R55" s="35" t="s">
        <v>354</v>
      </c>
      <c r="S55" s="34">
        <f t="shared" si="22"/>
        <v>16</v>
      </c>
      <c r="T55" s="33" t="s">
        <v>319</v>
      </c>
      <c r="U55" s="9">
        <f t="shared" si="23"/>
        <v>3</v>
      </c>
      <c r="V55" s="10">
        <f t="shared" si="24"/>
        <v>104</v>
      </c>
      <c r="W55" s="11">
        <f t="shared" si="25"/>
        <v>36</v>
      </c>
      <c r="X55" s="13">
        <f t="shared" si="26"/>
        <v>0</v>
      </c>
      <c r="Y55" s="12" t="s">
        <v>324</v>
      </c>
      <c r="Z55" s="30">
        <f t="shared" si="27"/>
        <v>0</v>
      </c>
      <c r="AA55" s="13" t="s">
        <v>204</v>
      </c>
      <c r="AB55">
        <v>1</v>
      </c>
    </row>
    <row r="56" spans="1:28" ht="28.8" x14ac:dyDescent="0.3">
      <c r="A56" s="15" t="s">
        <v>149</v>
      </c>
      <c r="B56" s="7">
        <v>4</v>
      </c>
      <c r="C56" s="7" t="s">
        <v>331</v>
      </c>
      <c r="D56" s="16" t="s">
        <v>196</v>
      </c>
      <c r="E56" s="9">
        <v>3</v>
      </c>
      <c r="F56" s="10">
        <v>1</v>
      </c>
      <c r="G56" s="11">
        <v>1</v>
      </c>
      <c r="H56" s="12">
        <v>1</v>
      </c>
      <c r="I56" s="10">
        <f t="shared" si="14"/>
        <v>6</v>
      </c>
      <c r="J56" s="11">
        <f t="shared" si="15"/>
        <v>9</v>
      </c>
      <c r="K56" s="11">
        <f t="shared" si="16"/>
        <v>0</v>
      </c>
      <c r="L56" s="13">
        <f t="shared" si="17"/>
        <v>0</v>
      </c>
      <c r="M56" s="14"/>
      <c r="N56" s="6" t="s">
        <v>284</v>
      </c>
      <c r="O56" s="10">
        <f t="shared" si="19"/>
        <v>129</v>
      </c>
      <c r="P56" s="11">
        <f t="shared" si="20"/>
        <v>93</v>
      </c>
      <c r="Q56" s="13">
        <f t="shared" si="21"/>
        <v>18</v>
      </c>
      <c r="R56" s="35" t="s">
        <v>350</v>
      </c>
      <c r="S56" s="34">
        <f t="shared" si="22"/>
        <v>18</v>
      </c>
      <c r="T56" s="33" t="s">
        <v>319</v>
      </c>
      <c r="U56" s="9">
        <f t="shared" si="23"/>
        <v>3</v>
      </c>
      <c r="V56" s="10">
        <f t="shared" si="24"/>
        <v>114</v>
      </c>
      <c r="W56" s="11">
        <f t="shared" si="25"/>
        <v>63</v>
      </c>
      <c r="X56" s="13">
        <f t="shared" si="26"/>
        <v>9</v>
      </c>
      <c r="Y56" s="12" t="s">
        <v>327</v>
      </c>
      <c r="Z56" s="30">
        <f t="shared" si="27"/>
        <v>135</v>
      </c>
      <c r="AA56" s="13" t="s">
        <v>198</v>
      </c>
      <c r="AB56">
        <v>1</v>
      </c>
    </row>
    <row r="57" spans="1:28" ht="28.8" x14ac:dyDescent="0.3">
      <c r="A57" s="15" t="s">
        <v>161</v>
      </c>
      <c r="B57" s="7">
        <v>4</v>
      </c>
      <c r="C57" s="7" t="s">
        <v>331</v>
      </c>
      <c r="D57" s="18" t="s">
        <v>193</v>
      </c>
      <c r="E57" s="9">
        <v>3</v>
      </c>
      <c r="F57" s="10">
        <v>1</v>
      </c>
      <c r="G57" s="11">
        <v>1</v>
      </c>
      <c r="H57" s="12">
        <v>1</v>
      </c>
      <c r="I57" s="10">
        <f t="shared" si="14"/>
        <v>6</v>
      </c>
      <c r="J57" s="11">
        <f t="shared" si="15"/>
        <v>9</v>
      </c>
      <c r="K57" s="11">
        <f t="shared" si="16"/>
        <v>0</v>
      </c>
      <c r="L57" s="13">
        <f t="shared" si="17"/>
        <v>0</v>
      </c>
      <c r="M57" s="14">
        <f t="shared" ref="M57:M101" si="28">IF(E57=0,46,IF(E57=1,46,IF(E57=2,44,IF(E57=3,40,IF(E57=4,32,IF(E57=5,20,0))))))</f>
        <v>40</v>
      </c>
      <c r="N57" s="6" t="s">
        <v>281</v>
      </c>
      <c r="O57" s="10">
        <f t="shared" si="19"/>
        <v>129</v>
      </c>
      <c r="P57" s="11">
        <f t="shared" si="20"/>
        <v>93</v>
      </c>
      <c r="Q57" s="13">
        <f t="shared" si="21"/>
        <v>18</v>
      </c>
      <c r="R57" s="35" t="s">
        <v>350</v>
      </c>
      <c r="S57" s="34">
        <f t="shared" si="22"/>
        <v>18</v>
      </c>
      <c r="T57" s="33" t="s">
        <v>316</v>
      </c>
      <c r="U57" s="9">
        <f t="shared" si="23"/>
        <v>3</v>
      </c>
      <c r="V57" s="10">
        <f t="shared" si="24"/>
        <v>114</v>
      </c>
      <c r="W57" s="11">
        <f t="shared" si="25"/>
        <v>63</v>
      </c>
      <c r="X57" s="13">
        <f t="shared" si="26"/>
        <v>9</v>
      </c>
      <c r="Y57" s="12" t="s">
        <v>324</v>
      </c>
      <c r="Z57" s="30">
        <f t="shared" si="27"/>
        <v>135</v>
      </c>
      <c r="AA57" s="13" t="s">
        <v>198</v>
      </c>
      <c r="AB57" t="s">
        <v>373</v>
      </c>
    </row>
    <row r="58" spans="1:28" ht="28.8" x14ac:dyDescent="0.3">
      <c r="A58" s="19" t="s">
        <v>108</v>
      </c>
      <c r="B58" s="20">
        <v>5</v>
      </c>
      <c r="C58" s="20" t="s">
        <v>337</v>
      </c>
      <c r="D58" s="21" t="s">
        <v>191</v>
      </c>
      <c r="E58" s="9">
        <v>0</v>
      </c>
      <c r="F58" s="10">
        <v>0</v>
      </c>
      <c r="G58" s="11">
        <v>0</v>
      </c>
      <c r="H58" s="12">
        <v>0</v>
      </c>
      <c r="I58" s="10">
        <f t="shared" si="14"/>
        <v>6</v>
      </c>
      <c r="J58" s="11">
        <f t="shared" si="15"/>
        <v>9</v>
      </c>
      <c r="K58" s="11">
        <f t="shared" si="16"/>
        <v>9</v>
      </c>
      <c r="L58" s="13">
        <f t="shared" si="17"/>
        <v>1</v>
      </c>
      <c r="M58" s="14">
        <f t="shared" si="28"/>
        <v>46</v>
      </c>
      <c r="N58" s="6" t="s">
        <v>255</v>
      </c>
      <c r="O58" s="10">
        <f t="shared" si="19"/>
        <v>129</v>
      </c>
      <c r="P58" s="11">
        <f t="shared" si="20"/>
        <v>105</v>
      </c>
      <c r="Q58" s="13">
        <f t="shared" si="21"/>
        <v>36</v>
      </c>
      <c r="R58" s="35" t="s">
        <v>362</v>
      </c>
      <c r="S58" s="34">
        <f t="shared" si="22"/>
        <v>18</v>
      </c>
      <c r="T58" s="33" t="s">
        <v>292</v>
      </c>
      <c r="U58" s="9">
        <f t="shared" si="23"/>
        <v>3</v>
      </c>
      <c r="V58" s="10">
        <f t="shared" si="24"/>
        <v>114</v>
      </c>
      <c r="W58" s="11">
        <f t="shared" si="25"/>
        <v>63</v>
      </c>
      <c r="X58" s="13">
        <f t="shared" si="26"/>
        <v>9</v>
      </c>
      <c r="Y58" s="12" t="s">
        <v>323</v>
      </c>
      <c r="Z58" s="30">
        <f t="shared" si="27"/>
        <v>168</v>
      </c>
      <c r="AA58" s="13" t="s">
        <v>243</v>
      </c>
      <c r="AB58" t="s">
        <v>373</v>
      </c>
    </row>
    <row r="59" spans="1:28" x14ac:dyDescent="0.3">
      <c r="A59" s="19" t="s">
        <v>180</v>
      </c>
      <c r="B59" s="20">
        <v>5</v>
      </c>
      <c r="C59" s="20" t="s">
        <v>337</v>
      </c>
      <c r="D59" s="18" t="s">
        <v>193</v>
      </c>
      <c r="E59" s="9">
        <v>0</v>
      </c>
      <c r="F59" s="10">
        <v>0</v>
      </c>
      <c r="G59" s="11">
        <v>0</v>
      </c>
      <c r="H59" s="12">
        <v>0</v>
      </c>
      <c r="I59" s="10">
        <f t="shared" si="14"/>
        <v>6</v>
      </c>
      <c r="J59" s="11">
        <f t="shared" si="15"/>
        <v>9</v>
      </c>
      <c r="K59" s="11">
        <f t="shared" si="16"/>
        <v>9</v>
      </c>
      <c r="L59" s="13">
        <f t="shared" si="17"/>
        <v>1</v>
      </c>
      <c r="M59" s="14">
        <f t="shared" si="28"/>
        <v>46</v>
      </c>
      <c r="N59" s="6"/>
      <c r="O59" s="10">
        <f t="shared" si="19"/>
        <v>129</v>
      </c>
      <c r="P59" s="11">
        <f t="shared" si="20"/>
        <v>105</v>
      </c>
      <c r="Q59" s="13">
        <f t="shared" si="21"/>
        <v>36</v>
      </c>
      <c r="R59" s="35"/>
      <c r="S59" s="34">
        <f t="shared" si="22"/>
        <v>18</v>
      </c>
      <c r="T59" s="33"/>
      <c r="U59" s="9">
        <f t="shared" si="23"/>
        <v>3</v>
      </c>
      <c r="V59" s="10">
        <f t="shared" si="24"/>
        <v>114</v>
      </c>
      <c r="W59" s="11">
        <f t="shared" si="25"/>
        <v>63</v>
      </c>
      <c r="X59" s="13">
        <f t="shared" si="26"/>
        <v>9</v>
      </c>
      <c r="Y59" s="12"/>
      <c r="Z59" s="30">
        <f t="shared" si="27"/>
        <v>168</v>
      </c>
      <c r="AA59" s="13" t="s">
        <v>375</v>
      </c>
      <c r="AB59" t="s">
        <v>373</v>
      </c>
    </row>
    <row r="60" spans="1:28" ht="28.8" x14ac:dyDescent="0.3">
      <c r="A60" s="19" t="s">
        <v>123</v>
      </c>
      <c r="B60" s="20">
        <v>5</v>
      </c>
      <c r="C60" s="20" t="s">
        <v>337</v>
      </c>
      <c r="D60" s="23" t="s">
        <v>195</v>
      </c>
      <c r="E60" s="9">
        <v>0</v>
      </c>
      <c r="F60" s="10">
        <v>0</v>
      </c>
      <c r="G60" s="11">
        <v>0</v>
      </c>
      <c r="H60" s="12">
        <v>0</v>
      </c>
      <c r="I60" s="10">
        <f t="shared" si="14"/>
        <v>6</v>
      </c>
      <c r="J60" s="11">
        <f t="shared" si="15"/>
        <v>9</v>
      </c>
      <c r="K60" s="11">
        <f t="shared" si="16"/>
        <v>9</v>
      </c>
      <c r="L60" s="13">
        <f t="shared" si="17"/>
        <v>1</v>
      </c>
      <c r="M60" s="14">
        <f t="shared" si="28"/>
        <v>46</v>
      </c>
      <c r="N60" s="6" t="s">
        <v>254</v>
      </c>
      <c r="O60" s="10">
        <f t="shared" si="19"/>
        <v>129</v>
      </c>
      <c r="P60" s="11">
        <f t="shared" si="20"/>
        <v>105</v>
      </c>
      <c r="Q60" s="13">
        <f t="shared" si="21"/>
        <v>36</v>
      </c>
      <c r="R60" s="35" t="s">
        <v>361</v>
      </c>
      <c r="S60" s="34">
        <f t="shared" si="22"/>
        <v>18</v>
      </c>
      <c r="T60" s="33" t="s">
        <v>295</v>
      </c>
      <c r="U60" s="9">
        <f t="shared" si="23"/>
        <v>3</v>
      </c>
      <c r="V60" s="10">
        <f t="shared" si="24"/>
        <v>114</v>
      </c>
      <c r="W60" s="11">
        <f t="shared" si="25"/>
        <v>63</v>
      </c>
      <c r="X60" s="13">
        <f t="shared" si="26"/>
        <v>9</v>
      </c>
      <c r="Y60" s="12" t="s">
        <v>322</v>
      </c>
      <c r="Z60" s="30">
        <f t="shared" si="27"/>
        <v>168</v>
      </c>
      <c r="AA60" s="13" t="s">
        <v>242</v>
      </c>
      <c r="AB60" t="s">
        <v>373</v>
      </c>
    </row>
    <row r="61" spans="1:28" x14ac:dyDescent="0.3">
      <c r="A61" s="19" t="s">
        <v>181</v>
      </c>
      <c r="B61" s="20">
        <v>5</v>
      </c>
      <c r="C61" s="20" t="s">
        <v>337</v>
      </c>
      <c r="D61" s="8" t="s">
        <v>194</v>
      </c>
      <c r="E61" s="9">
        <v>0</v>
      </c>
      <c r="F61" s="10">
        <v>0</v>
      </c>
      <c r="G61" s="11">
        <v>0</v>
      </c>
      <c r="H61" s="12">
        <v>0</v>
      </c>
      <c r="I61" s="10">
        <f t="shared" si="14"/>
        <v>6</v>
      </c>
      <c r="J61" s="11">
        <f t="shared" si="15"/>
        <v>9</v>
      </c>
      <c r="K61" s="11">
        <f t="shared" si="16"/>
        <v>9</v>
      </c>
      <c r="L61" s="13">
        <f t="shared" si="17"/>
        <v>1</v>
      </c>
      <c r="M61" s="14">
        <f t="shared" si="28"/>
        <v>46</v>
      </c>
      <c r="N61" s="6"/>
      <c r="O61" s="10">
        <f t="shared" si="19"/>
        <v>129</v>
      </c>
      <c r="P61" s="11">
        <f t="shared" si="20"/>
        <v>105</v>
      </c>
      <c r="Q61" s="13">
        <f t="shared" si="21"/>
        <v>36</v>
      </c>
      <c r="R61" s="35"/>
      <c r="S61" s="34">
        <f t="shared" si="22"/>
        <v>18</v>
      </c>
      <c r="T61" s="33"/>
      <c r="U61" s="9">
        <f t="shared" si="23"/>
        <v>3</v>
      </c>
      <c r="V61" s="10">
        <f t="shared" si="24"/>
        <v>114</v>
      </c>
      <c r="W61" s="11">
        <f t="shared" si="25"/>
        <v>63</v>
      </c>
      <c r="X61" s="13">
        <f t="shared" si="26"/>
        <v>9</v>
      </c>
      <c r="Y61" s="12"/>
      <c r="Z61" s="30">
        <f t="shared" si="27"/>
        <v>168</v>
      </c>
      <c r="AA61" s="13" t="s">
        <v>244</v>
      </c>
      <c r="AB61" t="s">
        <v>373</v>
      </c>
    </row>
    <row r="62" spans="1:28" x14ac:dyDescent="0.3">
      <c r="A62" s="19" t="s">
        <v>168</v>
      </c>
      <c r="B62" s="20">
        <v>5</v>
      </c>
      <c r="C62" s="20" t="s">
        <v>337</v>
      </c>
      <c r="D62" s="22" t="s">
        <v>197</v>
      </c>
      <c r="E62" s="9">
        <v>1</v>
      </c>
      <c r="F62" s="10">
        <v>0</v>
      </c>
      <c r="G62" s="11">
        <v>0</v>
      </c>
      <c r="H62" s="12">
        <v>0</v>
      </c>
      <c r="I62" s="10">
        <f t="shared" si="14"/>
        <v>6</v>
      </c>
      <c r="J62" s="11">
        <f t="shared" si="15"/>
        <v>9</v>
      </c>
      <c r="K62" s="11">
        <f t="shared" si="16"/>
        <v>9</v>
      </c>
      <c r="L62" s="13">
        <f t="shared" si="17"/>
        <v>0</v>
      </c>
      <c r="M62" s="14">
        <f t="shared" si="28"/>
        <v>46</v>
      </c>
      <c r="N62" s="6" t="s">
        <v>376</v>
      </c>
      <c r="O62" s="10">
        <f t="shared" si="19"/>
        <v>129</v>
      </c>
      <c r="P62" s="11">
        <f t="shared" si="20"/>
        <v>105</v>
      </c>
      <c r="Q62" s="13">
        <f t="shared" si="21"/>
        <v>33</v>
      </c>
      <c r="R62" s="35" t="s">
        <v>362</v>
      </c>
      <c r="S62" s="34">
        <f t="shared" si="22"/>
        <v>18</v>
      </c>
      <c r="T62" s="33"/>
      <c r="U62" s="9">
        <f t="shared" si="23"/>
        <v>3</v>
      </c>
      <c r="V62" s="10">
        <f t="shared" si="24"/>
        <v>114</v>
      </c>
      <c r="W62" s="11">
        <f t="shared" si="25"/>
        <v>63</v>
      </c>
      <c r="X62" s="13">
        <f t="shared" si="26"/>
        <v>9</v>
      </c>
      <c r="Y62" s="12"/>
      <c r="Z62" s="30">
        <f t="shared" si="27"/>
        <v>165</v>
      </c>
      <c r="AA62" s="13" t="s">
        <v>375</v>
      </c>
      <c r="AB62" t="s">
        <v>373</v>
      </c>
    </row>
    <row r="63" spans="1:28" ht="43.2" x14ac:dyDescent="0.3">
      <c r="A63" s="19" t="s">
        <v>158</v>
      </c>
      <c r="B63" s="20">
        <v>5</v>
      </c>
      <c r="C63" s="20" t="s">
        <v>337</v>
      </c>
      <c r="D63" s="17" t="s">
        <v>192</v>
      </c>
      <c r="E63" s="9">
        <v>0</v>
      </c>
      <c r="F63" s="10">
        <v>0</v>
      </c>
      <c r="G63" s="11">
        <v>0</v>
      </c>
      <c r="H63" s="12">
        <v>0</v>
      </c>
      <c r="I63" s="10">
        <f t="shared" si="14"/>
        <v>6</v>
      </c>
      <c r="J63" s="11">
        <f t="shared" si="15"/>
        <v>9</v>
      </c>
      <c r="K63" s="11">
        <f t="shared" si="16"/>
        <v>9</v>
      </c>
      <c r="L63" s="13">
        <f t="shared" si="17"/>
        <v>1</v>
      </c>
      <c r="M63" s="14">
        <f t="shared" si="28"/>
        <v>46</v>
      </c>
      <c r="N63" s="6" t="s">
        <v>253</v>
      </c>
      <c r="O63" s="10">
        <f t="shared" si="19"/>
        <v>129</v>
      </c>
      <c r="P63" s="11">
        <f t="shared" si="20"/>
        <v>105</v>
      </c>
      <c r="Q63" s="13">
        <f t="shared" si="21"/>
        <v>36</v>
      </c>
      <c r="R63" s="35" t="s">
        <v>361</v>
      </c>
      <c r="S63" s="34">
        <f t="shared" si="22"/>
        <v>18</v>
      </c>
      <c r="T63" s="33" t="s">
        <v>302</v>
      </c>
      <c r="U63" s="9">
        <f t="shared" si="23"/>
        <v>3</v>
      </c>
      <c r="V63" s="10">
        <f t="shared" si="24"/>
        <v>114</v>
      </c>
      <c r="W63" s="11">
        <f t="shared" si="25"/>
        <v>63</v>
      </c>
      <c r="X63" s="13">
        <f t="shared" si="26"/>
        <v>9</v>
      </c>
      <c r="Y63" s="12" t="s">
        <v>323</v>
      </c>
      <c r="Z63" s="30">
        <f t="shared" si="27"/>
        <v>168</v>
      </c>
      <c r="AA63" s="13" t="s">
        <v>241</v>
      </c>
      <c r="AB63" t="s">
        <v>373</v>
      </c>
    </row>
    <row r="64" spans="1:28" x14ac:dyDescent="0.3">
      <c r="A64" s="32" t="s">
        <v>179</v>
      </c>
      <c r="B64" s="7">
        <v>4</v>
      </c>
      <c r="C64" s="7" t="s">
        <v>337</v>
      </c>
      <c r="D64" s="16" t="s">
        <v>196</v>
      </c>
      <c r="E64" s="9">
        <v>0</v>
      </c>
      <c r="F64" s="10">
        <v>0</v>
      </c>
      <c r="G64" s="11">
        <v>0</v>
      </c>
      <c r="H64" s="12">
        <v>0</v>
      </c>
      <c r="I64" s="10">
        <f t="shared" si="14"/>
        <v>6</v>
      </c>
      <c r="J64" s="11">
        <f t="shared" si="15"/>
        <v>9</v>
      </c>
      <c r="K64" s="11">
        <f t="shared" si="16"/>
        <v>9</v>
      </c>
      <c r="L64" s="13">
        <f t="shared" si="17"/>
        <v>1</v>
      </c>
      <c r="M64" s="14">
        <f t="shared" si="28"/>
        <v>46</v>
      </c>
      <c r="N64" s="6"/>
      <c r="O64" s="10">
        <f t="shared" si="19"/>
        <v>129</v>
      </c>
      <c r="P64" s="11">
        <f t="shared" si="20"/>
        <v>105</v>
      </c>
      <c r="Q64" s="13">
        <f t="shared" si="21"/>
        <v>36</v>
      </c>
      <c r="R64" s="35"/>
      <c r="S64" s="34">
        <f t="shared" si="22"/>
        <v>18</v>
      </c>
      <c r="T64" s="33"/>
      <c r="U64" s="9">
        <f t="shared" si="23"/>
        <v>3</v>
      </c>
      <c r="V64" s="10">
        <f t="shared" si="24"/>
        <v>114</v>
      </c>
      <c r="W64" s="11">
        <f t="shared" si="25"/>
        <v>63</v>
      </c>
      <c r="X64" s="13">
        <f t="shared" si="26"/>
        <v>9</v>
      </c>
      <c r="Y64" s="12"/>
      <c r="Z64" s="30">
        <f t="shared" si="27"/>
        <v>168</v>
      </c>
      <c r="AA64" s="13"/>
      <c r="AB64" t="s">
        <v>373</v>
      </c>
    </row>
    <row r="65" spans="1:28" ht="28.8" x14ac:dyDescent="0.3">
      <c r="A65" s="15" t="s">
        <v>107</v>
      </c>
      <c r="B65" s="7">
        <v>4</v>
      </c>
      <c r="C65" s="7" t="s">
        <v>337</v>
      </c>
      <c r="D65" s="17" t="s">
        <v>192</v>
      </c>
      <c r="E65" s="9">
        <v>1</v>
      </c>
      <c r="F65" s="10">
        <v>1</v>
      </c>
      <c r="G65" s="11">
        <v>1</v>
      </c>
      <c r="H65" s="12">
        <v>1</v>
      </c>
      <c r="I65" s="10">
        <f t="shared" si="14"/>
        <v>6</v>
      </c>
      <c r="J65" s="11">
        <f t="shared" si="15"/>
        <v>9</v>
      </c>
      <c r="K65" s="11">
        <f t="shared" si="16"/>
        <v>9</v>
      </c>
      <c r="L65" s="13">
        <f t="shared" si="17"/>
        <v>0</v>
      </c>
      <c r="M65" s="14">
        <f t="shared" si="28"/>
        <v>46</v>
      </c>
      <c r="N65" s="6" t="s">
        <v>255</v>
      </c>
      <c r="O65" s="10">
        <f t="shared" si="19"/>
        <v>129</v>
      </c>
      <c r="P65" s="11">
        <f t="shared" si="20"/>
        <v>105</v>
      </c>
      <c r="Q65" s="13">
        <f t="shared" si="21"/>
        <v>33</v>
      </c>
      <c r="R65" s="35" t="s">
        <v>361</v>
      </c>
      <c r="S65" s="34">
        <f t="shared" si="22"/>
        <v>18</v>
      </c>
      <c r="T65" s="33" t="s">
        <v>294</v>
      </c>
      <c r="U65" s="9">
        <f t="shared" si="23"/>
        <v>3</v>
      </c>
      <c r="V65" s="10">
        <f t="shared" si="24"/>
        <v>114</v>
      </c>
      <c r="W65" s="11">
        <f t="shared" si="25"/>
        <v>63</v>
      </c>
      <c r="X65" s="13">
        <f t="shared" si="26"/>
        <v>9</v>
      </c>
      <c r="Y65" s="12" t="s">
        <v>347</v>
      </c>
      <c r="Z65" s="30">
        <f t="shared" si="27"/>
        <v>165</v>
      </c>
      <c r="AA65" s="13" t="s">
        <v>244</v>
      </c>
      <c r="AB65" t="s">
        <v>373</v>
      </c>
    </row>
    <row r="66" spans="1:28" x14ac:dyDescent="0.3">
      <c r="A66" s="15" t="s">
        <v>169</v>
      </c>
      <c r="B66" s="7">
        <v>4</v>
      </c>
      <c r="C66" s="7" t="s">
        <v>337</v>
      </c>
      <c r="D66" s="16" t="s">
        <v>196</v>
      </c>
      <c r="E66" s="9">
        <v>1</v>
      </c>
      <c r="F66" s="10">
        <v>0</v>
      </c>
      <c r="G66" s="11">
        <v>0</v>
      </c>
      <c r="H66" s="12">
        <v>0</v>
      </c>
      <c r="I66" s="10">
        <f t="shared" ref="I66:I101" si="29">IF(E66=6,0,6)</f>
        <v>6</v>
      </c>
      <c r="J66" s="11">
        <f t="shared" ref="J66:J101" si="30">IF(E66=0,9,IF(E66=1,9,IF(E66=2,9,IF(E66=3,9,IF(E66=4,6,0)))))</f>
        <v>9</v>
      </c>
      <c r="K66" s="11">
        <f t="shared" ref="K66:K101" si="31">IF(E66=0,9,IF(E66=1,9,IF(E66=2,6,0)))</f>
        <v>9</v>
      </c>
      <c r="L66" s="13">
        <f t="shared" ref="L66:L101" si="32">IF(E66=0,1,0)</f>
        <v>0</v>
      </c>
      <c r="M66" s="14">
        <f t="shared" si="28"/>
        <v>46</v>
      </c>
      <c r="N66" s="6" t="s">
        <v>377</v>
      </c>
      <c r="O66" s="10">
        <f t="shared" ref="O66:O101" si="33">IF(E66=0,36,IF(E66=1,36,IF(E66=2,36,IF(E66=3,36,IF(E66=4,36,IF(E66=5,24,0))))))+IF(F66=0,31,IF(F66=1,31,IF(F66=2,31,IF(F66=3,31,IF(F66=4,31,IF(F66=5,31,IF(F66=6,31,IF(F66=7,27,IF(F66=8,21,IF(F66=9,12,0))))))))))+IF(G66=0,31,IF(G66=1,31,IF(G66=2,31,IF(G66=3,31,IF(G66=4,31,IF(G66=5,31,IF(G66=6,31,IF(G66=7,27,IF(G66=8,21,IF(G66=9,12,0))))))))))+IF(H66=0,31,IF(H66=1,31,IF(H66=2,31,IF(H66=3,31,IF(H66=4,31,IF(H66=5,31,IF(H66=6,31,IF(H66=7,27,IF(H66=8,21,IF(H66=9,12,0))))))))))</f>
        <v>129</v>
      </c>
      <c r="P66" s="11">
        <f t="shared" ref="P66:P101" si="34">IF(E66=0,30,IF(E66=1,30,IF(E66=2,30,IF(E66=3,18,0))))+IF(F66=0,22,IF(F66=1,22,IF(F66=2,22,IF(F66=3,19,IF(F66=4,15,IF(F66=5,9,0))))))+IF(G66=0,31,IF(G66=1,31,IF(G66=2,31,IF(G66=3,31,IF(G66=4,31,IF(G66=5,31,0))))))+IF(H66=0,22,IF(H66=1,22,IF(H66=2,22,IF(H66=3,19,IF(H66=4,15,IF(H66=5,9,0))))))</f>
        <v>105</v>
      </c>
      <c r="Q66" s="13">
        <f t="shared" ref="Q66:Q101" si="35">IF(E66=0,18,IF(E66=1,15,0))+IF(F66=0,6,IF(F66=1,6,0))+IF(G66=0,6,IF(G66=1,6,0))+IF(H66=0,6,IF(H66=1,6,0))</f>
        <v>33</v>
      </c>
      <c r="R66" s="35" t="s">
        <v>362</v>
      </c>
      <c r="S66" s="34">
        <f t="shared" ref="S66:S101" si="36">IF(F66=0,6,IF(F66=1,6,IF(F66=2,6,IF(F66=3,6,IF(F66=4,6,IF(F66=5,6,IF(F66=6,6,IF(F66=7,5,IF(F66=8,4,IF(F66=9,2,0))))))))))+IF(G66=0,6,IF(G66=1,6,IF(G66=2,6,IF(G66=3,6,IF(G66=4,6,IF(G66=5,6,IF(G66=6,6,IF(G66=7,5,IF(G66=8,4,IF(G66=9,2,0))))))))))+IF(H66=0,6,IF(H66=1,6,IF(H66=2,6,IF(H66=3,6,IF(H66=4,6,IF(H66=5,6,IF(H66=6,6,IF(H66=7,5,IF(H66=8,4,IF(H66=9,2,0))))))))))</f>
        <v>18</v>
      </c>
      <c r="T66" s="33"/>
      <c r="U66" s="9">
        <f t="shared" ref="U66:U101" si="37">IF(F66=10,0,1)+IF(G66=10,0,1)+IF(H66=10,0,1)</f>
        <v>3</v>
      </c>
      <c r="V66" s="10">
        <f t="shared" ref="V66:V101" si="38">IF(F66=0,38,IF(F66=1,38,IF(F66=2,38,IF(F66=3,38,IF(F66=4,38,IF(F66=5,38,IF(F66=6,38,IF(F66=7,34,IF(F66=8,28,IF(F66=9,16,0))))))))))+IF(G66=0,38,IF(G66=1,38,IF(G66=2,38,IF(G66=3,38,IF(G66=4,38,IF(G66=5,38,IF(G66=6,38,IF(G66=7,34,IF(G66=8,28,IF(G66=9,16,0))))))))))+IF(H66=0,38,IF(H66=1,38,IF(H66=2,38,IF(H66=3,38,IF(H66=4,38,IF(H66=5,38,IF(H66=6,38,IF(H66=7,34,IF(H66=8,28,IF(H66=9,16,0))))))))))</f>
        <v>114</v>
      </c>
      <c r="W66" s="11">
        <f t="shared" ref="W66:W101" si="39">IF(F66=0,21,IF(F66=1,21,IF(F66=2,21,IF(F66=3,19,IF(F66=4,15,IF(F66=5,9,0))))))+IF(G66=0,21,IF(G66=1,21,IF(G66=2,21,IF(G66=3,19,IF(G66=4,15,IF(G66=5,21,0))))))+IF(H66=0,21,IF(H66=1,21,IF(H66=2,21,IF(H66=3,19,IF(H66=4,15,IF(H66=5,9,0))))))</f>
        <v>63</v>
      </c>
      <c r="X66" s="13">
        <f t="shared" ref="X66:X101" si="40">IF(F66=0,3,IF(F66=1,3,0))+IF(G66=0,3,IF(G66=1,3,0))+IF(H66=0,3,IF(H66=1,3,0))</f>
        <v>9</v>
      </c>
      <c r="Y66" s="12"/>
      <c r="Z66" s="30">
        <f t="shared" ref="Z66:Z101" si="41">IF(E66=0,168,IF(E66=1,165,IF(E66=2,155,IF(E66=3,135,IF(E66=4,105,IF(E66=5,60,0))))))</f>
        <v>165</v>
      </c>
      <c r="AA66" s="13" t="s">
        <v>374</v>
      </c>
      <c r="AB66" t="s">
        <v>373</v>
      </c>
    </row>
    <row r="67" spans="1:28" x14ac:dyDescent="0.3">
      <c r="A67" s="19" t="s">
        <v>84</v>
      </c>
      <c r="B67" s="20">
        <v>5</v>
      </c>
      <c r="C67" s="20" t="s">
        <v>332</v>
      </c>
      <c r="D67" s="21" t="s">
        <v>191</v>
      </c>
      <c r="E67" s="9">
        <v>6</v>
      </c>
      <c r="F67" s="10">
        <v>10</v>
      </c>
      <c r="G67" s="11">
        <v>10</v>
      </c>
      <c r="H67" s="12">
        <v>7</v>
      </c>
      <c r="I67" s="10">
        <f t="shared" si="29"/>
        <v>0</v>
      </c>
      <c r="J67" s="11">
        <f t="shared" si="30"/>
        <v>0</v>
      </c>
      <c r="K67" s="11">
        <f t="shared" si="31"/>
        <v>0</v>
      </c>
      <c r="L67" s="13">
        <f t="shared" si="32"/>
        <v>0</v>
      </c>
      <c r="M67" s="14">
        <f t="shared" si="28"/>
        <v>0</v>
      </c>
      <c r="N67" s="6" t="s">
        <v>265</v>
      </c>
      <c r="O67" s="10">
        <f t="shared" si="33"/>
        <v>27</v>
      </c>
      <c r="P67" s="11">
        <f t="shared" si="34"/>
        <v>0</v>
      </c>
      <c r="Q67" s="13">
        <f t="shared" si="35"/>
        <v>0</v>
      </c>
      <c r="R67" s="35" t="s">
        <v>358</v>
      </c>
      <c r="S67" s="34">
        <f t="shared" si="36"/>
        <v>5</v>
      </c>
      <c r="T67" s="33" t="s">
        <v>302</v>
      </c>
      <c r="U67" s="9">
        <f t="shared" si="37"/>
        <v>1</v>
      </c>
      <c r="V67" s="10">
        <f t="shared" si="38"/>
        <v>34</v>
      </c>
      <c r="W67" s="11">
        <f t="shared" si="39"/>
        <v>0</v>
      </c>
      <c r="X67" s="13">
        <f t="shared" si="40"/>
        <v>0</v>
      </c>
      <c r="Y67" s="12" t="s">
        <v>342</v>
      </c>
      <c r="Z67" s="30">
        <f t="shared" si="41"/>
        <v>0</v>
      </c>
      <c r="AA67" s="13" t="s">
        <v>225</v>
      </c>
      <c r="AB67">
        <v>1</v>
      </c>
    </row>
    <row r="68" spans="1:28" ht="28.8" x14ac:dyDescent="0.3">
      <c r="A68" s="19" t="s">
        <v>99</v>
      </c>
      <c r="B68" s="20">
        <v>5</v>
      </c>
      <c r="C68" s="20" t="s">
        <v>332</v>
      </c>
      <c r="D68" s="18" t="s">
        <v>193</v>
      </c>
      <c r="E68" s="9">
        <v>0</v>
      </c>
      <c r="F68" s="10">
        <v>0</v>
      </c>
      <c r="G68" s="11">
        <v>0</v>
      </c>
      <c r="H68" s="12">
        <v>0</v>
      </c>
      <c r="I68" s="10">
        <f t="shared" si="29"/>
        <v>6</v>
      </c>
      <c r="J68" s="11">
        <f t="shared" si="30"/>
        <v>9</v>
      </c>
      <c r="K68" s="11">
        <f t="shared" si="31"/>
        <v>9</v>
      </c>
      <c r="L68" s="13">
        <f t="shared" si="32"/>
        <v>1</v>
      </c>
      <c r="M68" s="14">
        <f t="shared" si="28"/>
        <v>46</v>
      </c>
      <c r="N68" s="6" t="s">
        <v>268</v>
      </c>
      <c r="O68" s="10">
        <f t="shared" si="33"/>
        <v>129</v>
      </c>
      <c r="P68" s="11">
        <f t="shared" si="34"/>
        <v>105</v>
      </c>
      <c r="Q68" s="13">
        <f t="shared" si="35"/>
        <v>36</v>
      </c>
      <c r="R68" s="35" t="s">
        <v>358</v>
      </c>
      <c r="S68" s="34">
        <f t="shared" si="36"/>
        <v>18</v>
      </c>
      <c r="T68" s="33" t="s">
        <v>303</v>
      </c>
      <c r="U68" s="9">
        <f t="shared" si="37"/>
        <v>3</v>
      </c>
      <c r="V68" s="10">
        <f t="shared" si="38"/>
        <v>114</v>
      </c>
      <c r="W68" s="11">
        <f t="shared" si="39"/>
        <v>63</v>
      </c>
      <c r="X68" s="13">
        <f t="shared" si="40"/>
        <v>9</v>
      </c>
      <c r="Y68" s="12" t="s">
        <v>343</v>
      </c>
      <c r="Z68" s="30">
        <f t="shared" si="41"/>
        <v>168</v>
      </c>
      <c r="AA68" s="13" t="s">
        <v>225</v>
      </c>
      <c r="AB68">
        <v>1</v>
      </c>
    </row>
    <row r="69" spans="1:28" x14ac:dyDescent="0.3">
      <c r="A69" s="19" t="s">
        <v>125</v>
      </c>
      <c r="B69" s="20">
        <v>5</v>
      </c>
      <c r="C69" s="20" t="s">
        <v>332</v>
      </c>
      <c r="D69" s="21" t="s">
        <v>191</v>
      </c>
      <c r="E69" s="9">
        <v>0</v>
      </c>
      <c r="F69" s="10">
        <v>0</v>
      </c>
      <c r="G69" s="11">
        <v>0</v>
      </c>
      <c r="H69" s="12">
        <v>0</v>
      </c>
      <c r="I69" s="10">
        <f t="shared" si="29"/>
        <v>6</v>
      </c>
      <c r="J69" s="11">
        <f t="shared" si="30"/>
        <v>9</v>
      </c>
      <c r="K69" s="11">
        <f t="shared" si="31"/>
        <v>9</v>
      </c>
      <c r="L69" s="13">
        <f t="shared" si="32"/>
        <v>1</v>
      </c>
      <c r="M69" s="14">
        <f t="shared" si="28"/>
        <v>46</v>
      </c>
      <c r="N69" s="6" t="s">
        <v>266</v>
      </c>
      <c r="O69" s="10">
        <f t="shared" si="33"/>
        <v>129</v>
      </c>
      <c r="P69" s="11">
        <f t="shared" si="34"/>
        <v>105</v>
      </c>
      <c r="Q69" s="13">
        <f t="shared" si="35"/>
        <v>36</v>
      </c>
      <c r="R69" s="35" t="s">
        <v>357</v>
      </c>
      <c r="S69" s="34">
        <f t="shared" si="36"/>
        <v>18</v>
      </c>
      <c r="T69" s="33" t="s">
        <v>303</v>
      </c>
      <c r="U69" s="9">
        <f t="shared" si="37"/>
        <v>3</v>
      </c>
      <c r="V69" s="10">
        <f t="shared" si="38"/>
        <v>114</v>
      </c>
      <c r="W69" s="11">
        <f t="shared" si="39"/>
        <v>63</v>
      </c>
      <c r="X69" s="13">
        <f t="shared" si="40"/>
        <v>9</v>
      </c>
      <c r="Y69" s="12" t="s">
        <v>342</v>
      </c>
      <c r="Z69" s="30">
        <f t="shared" si="41"/>
        <v>168</v>
      </c>
      <c r="AA69" s="13" t="s">
        <v>231</v>
      </c>
      <c r="AB69">
        <v>1</v>
      </c>
    </row>
    <row r="70" spans="1:28" ht="28.8" x14ac:dyDescent="0.3">
      <c r="A70" s="19" t="s">
        <v>127</v>
      </c>
      <c r="B70" s="20">
        <v>5</v>
      </c>
      <c r="C70" s="20" t="s">
        <v>332</v>
      </c>
      <c r="D70" s="23" t="s">
        <v>195</v>
      </c>
      <c r="E70" s="9">
        <v>0</v>
      </c>
      <c r="F70" s="10">
        <v>0</v>
      </c>
      <c r="G70" s="11">
        <v>0</v>
      </c>
      <c r="H70" s="12">
        <v>0</v>
      </c>
      <c r="I70" s="10">
        <f t="shared" si="29"/>
        <v>6</v>
      </c>
      <c r="J70" s="11">
        <f t="shared" si="30"/>
        <v>9</v>
      </c>
      <c r="K70" s="11">
        <f t="shared" si="31"/>
        <v>9</v>
      </c>
      <c r="L70" s="13">
        <f t="shared" si="32"/>
        <v>1</v>
      </c>
      <c r="M70" s="14">
        <f t="shared" si="28"/>
        <v>46</v>
      </c>
      <c r="N70" s="6" t="s">
        <v>267</v>
      </c>
      <c r="O70" s="10">
        <f t="shared" si="33"/>
        <v>129</v>
      </c>
      <c r="P70" s="11">
        <f t="shared" si="34"/>
        <v>105</v>
      </c>
      <c r="Q70" s="13">
        <f t="shared" si="35"/>
        <v>36</v>
      </c>
      <c r="R70" s="35" t="s">
        <v>357</v>
      </c>
      <c r="S70" s="34">
        <f t="shared" si="36"/>
        <v>18</v>
      </c>
      <c r="T70" s="33" t="s">
        <v>305</v>
      </c>
      <c r="U70" s="9">
        <f t="shared" si="37"/>
        <v>3</v>
      </c>
      <c r="V70" s="10">
        <f t="shared" si="38"/>
        <v>114</v>
      </c>
      <c r="W70" s="11">
        <f t="shared" si="39"/>
        <v>63</v>
      </c>
      <c r="X70" s="13">
        <f t="shared" si="40"/>
        <v>9</v>
      </c>
      <c r="Y70" s="12" t="s">
        <v>343</v>
      </c>
      <c r="Z70" s="30">
        <f t="shared" si="41"/>
        <v>168</v>
      </c>
      <c r="AA70" s="13" t="s">
        <v>228</v>
      </c>
      <c r="AB70">
        <v>1</v>
      </c>
    </row>
    <row r="71" spans="1:28" ht="28.8" x14ac:dyDescent="0.3">
      <c r="A71" s="19" t="s">
        <v>133</v>
      </c>
      <c r="B71" s="20">
        <v>5</v>
      </c>
      <c r="C71" s="20" t="s">
        <v>332</v>
      </c>
      <c r="D71" s="16" t="s">
        <v>196</v>
      </c>
      <c r="E71" s="9">
        <v>0</v>
      </c>
      <c r="F71" s="10">
        <v>0</v>
      </c>
      <c r="G71" s="11">
        <v>0</v>
      </c>
      <c r="H71" s="12">
        <v>0</v>
      </c>
      <c r="I71" s="10">
        <f t="shared" si="29"/>
        <v>6</v>
      </c>
      <c r="J71" s="11">
        <f t="shared" si="30"/>
        <v>9</v>
      </c>
      <c r="K71" s="11">
        <f t="shared" si="31"/>
        <v>9</v>
      </c>
      <c r="L71" s="13">
        <f t="shared" si="32"/>
        <v>1</v>
      </c>
      <c r="M71" s="14">
        <f t="shared" si="28"/>
        <v>46</v>
      </c>
      <c r="N71" s="6" t="s">
        <v>270</v>
      </c>
      <c r="O71" s="10">
        <f t="shared" si="33"/>
        <v>129</v>
      </c>
      <c r="P71" s="11">
        <f t="shared" si="34"/>
        <v>105</v>
      </c>
      <c r="Q71" s="13">
        <f t="shared" si="35"/>
        <v>36</v>
      </c>
      <c r="R71" s="35" t="s">
        <v>351</v>
      </c>
      <c r="S71" s="34">
        <f t="shared" si="36"/>
        <v>18</v>
      </c>
      <c r="T71" s="33" t="s">
        <v>306</v>
      </c>
      <c r="U71" s="9">
        <f t="shared" si="37"/>
        <v>3</v>
      </c>
      <c r="V71" s="10">
        <f t="shared" si="38"/>
        <v>114</v>
      </c>
      <c r="W71" s="11">
        <f t="shared" si="39"/>
        <v>63</v>
      </c>
      <c r="X71" s="13">
        <f t="shared" si="40"/>
        <v>9</v>
      </c>
      <c r="Y71" s="12" t="s">
        <v>341</v>
      </c>
      <c r="Z71" s="30">
        <f t="shared" si="41"/>
        <v>168</v>
      </c>
      <c r="AA71" s="13" t="s">
        <v>227</v>
      </c>
      <c r="AB71">
        <v>1</v>
      </c>
    </row>
    <row r="72" spans="1:28" x14ac:dyDescent="0.3">
      <c r="A72" s="19" t="s">
        <v>172</v>
      </c>
      <c r="B72" s="20">
        <v>5</v>
      </c>
      <c r="C72" s="20" t="s">
        <v>332</v>
      </c>
      <c r="D72" s="22" t="s">
        <v>197</v>
      </c>
      <c r="E72" s="9">
        <v>4</v>
      </c>
      <c r="F72" s="10">
        <v>6</v>
      </c>
      <c r="G72" s="11">
        <v>6</v>
      </c>
      <c r="H72" s="12">
        <v>2</v>
      </c>
      <c r="I72" s="10">
        <f t="shared" si="29"/>
        <v>6</v>
      </c>
      <c r="J72" s="11">
        <f t="shared" si="30"/>
        <v>6</v>
      </c>
      <c r="K72" s="11">
        <f t="shared" si="31"/>
        <v>0</v>
      </c>
      <c r="L72" s="13">
        <f t="shared" si="32"/>
        <v>0</v>
      </c>
      <c r="M72" s="14">
        <f t="shared" si="28"/>
        <v>32</v>
      </c>
      <c r="N72" s="6" t="s">
        <v>267</v>
      </c>
      <c r="O72" s="10">
        <f t="shared" si="33"/>
        <v>129</v>
      </c>
      <c r="P72" s="11">
        <f t="shared" si="34"/>
        <v>22</v>
      </c>
      <c r="Q72" s="13">
        <f t="shared" si="35"/>
        <v>0</v>
      </c>
      <c r="R72" s="35" t="s">
        <v>355</v>
      </c>
      <c r="S72" s="34">
        <f t="shared" si="36"/>
        <v>18</v>
      </c>
      <c r="T72" s="33" t="s">
        <v>301</v>
      </c>
      <c r="U72" s="9">
        <f t="shared" si="37"/>
        <v>3</v>
      </c>
      <c r="V72" s="10">
        <f t="shared" si="38"/>
        <v>114</v>
      </c>
      <c r="W72" s="11">
        <f t="shared" si="39"/>
        <v>21</v>
      </c>
      <c r="X72" s="13">
        <f t="shared" si="40"/>
        <v>0</v>
      </c>
      <c r="Y72" s="12" t="s">
        <v>343</v>
      </c>
      <c r="Z72" s="30">
        <f t="shared" si="41"/>
        <v>105</v>
      </c>
      <c r="AA72" s="13" t="s">
        <v>230</v>
      </c>
      <c r="AB72">
        <v>1</v>
      </c>
    </row>
    <row r="73" spans="1:28" ht="28.8" x14ac:dyDescent="0.3">
      <c r="A73" s="19" t="s">
        <v>145</v>
      </c>
      <c r="B73" s="20">
        <v>5</v>
      </c>
      <c r="C73" s="20" t="s">
        <v>332</v>
      </c>
      <c r="D73" s="21" t="s">
        <v>191</v>
      </c>
      <c r="E73" s="9">
        <v>3</v>
      </c>
      <c r="F73" s="10">
        <v>4</v>
      </c>
      <c r="G73" s="11">
        <v>4</v>
      </c>
      <c r="H73" s="12">
        <v>2</v>
      </c>
      <c r="I73" s="10">
        <f t="shared" si="29"/>
        <v>6</v>
      </c>
      <c r="J73" s="11">
        <f t="shared" si="30"/>
        <v>9</v>
      </c>
      <c r="K73" s="11">
        <f t="shared" si="31"/>
        <v>0</v>
      </c>
      <c r="L73" s="13">
        <f t="shared" si="32"/>
        <v>0</v>
      </c>
      <c r="M73" s="14">
        <f t="shared" si="28"/>
        <v>40</v>
      </c>
      <c r="N73" s="6" t="s">
        <v>269</v>
      </c>
      <c r="O73" s="10">
        <f t="shared" si="33"/>
        <v>129</v>
      </c>
      <c r="P73" s="11">
        <f t="shared" si="34"/>
        <v>86</v>
      </c>
      <c r="Q73" s="13">
        <f t="shared" si="35"/>
        <v>0</v>
      </c>
      <c r="R73" s="35" t="s">
        <v>357</v>
      </c>
      <c r="S73" s="34">
        <f t="shared" si="36"/>
        <v>18</v>
      </c>
      <c r="T73" s="33" t="s">
        <v>304</v>
      </c>
      <c r="U73" s="9">
        <f t="shared" si="37"/>
        <v>3</v>
      </c>
      <c r="V73" s="10">
        <f t="shared" si="38"/>
        <v>114</v>
      </c>
      <c r="W73" s="11">
        <f t="shared" si="39"/>
        <v>51</v>
      </c>
      <c r="X73" s="13">
        <f t="shared" si="40"/>
        <v>0</v>
      </c>
      <c r="Y73" s="12" t="s">
        <v>341</v>
      </c>
      <c r="Z73" s="30">
        <f t="shared" si="41"/>
        <v>135</v>
      </c>
      <c r="AA73" s="13" t="s">
        <v>229</v>
      </c>
      <c r="AB73">
        <v>1</v>
      </c>
    </row>
    <row r="74" spans="1:28" x14ac:dyDescent="0.3">
      <c r="A74" s="15" t="s">
        <v>98</v>
      </c>
      <c r="B74" s="7">
        <v>4</v>
      </c>
      <c r="C74" s="7" t="s">
        <v>332</v>
      </c>
      <c r="D74" s="16" t="s">
        <v>196</v>
      </c>
      <c r="E74" s="9">
        <v>3</v>
      </c>
      <c r="F74" s="10">
        <v>1</v>
      </c>
      <c r="G74" s="11">
        <v>1</v>
      </c>
      <c r="H74" s="12">
        <v>1</v>
      </c>
      <c r="I74" s="10">
        <f t="shared" si="29"/>
        <v>6</v>
      </c>
      <c r="J74" s="11">
        <f t="shared" si="30"/>
        <v>9</v>
      </c>
      <c r="K74" s="11">
        <f t="shared" si="31"/>
        <v>0</v>
      </c>
      <c r="L74" s="13">
        <f t="shared" si="32"/>
        <v>0</v>
      </c>
      <c r="M74" s="14">
        <f t="shared" si="28"/>
        <v>40</v>
      </c>
      <c r="N74" s="6" t="s">
        <v>270</v>
      </c>
      <c r="O74" s="10">
        <f t="shared" si="33"/>
        <v>129</v>
      </c>
      <c r="P74" s="11">
        <f t="shared" si="34"/>
        <v>93</v>
      </c>
      <c r="Q74" s="13">
        <f t="shared" si="35"/>
        <v>18</v>
      </c>
      <c r="R74" s="35" t="s">
        <v>358</v>
      </c>
      <c r="S74" s="34">
        <f t="shared" si="36"/>
        <v>18</v>
      </c>
      <c r="T74" s="33" t="s">
        <v>312</v>
      </c>
      <c r="U74" s="9">
        <f t="shared" si="37"/>
        <v>3</v>
      </c>
      <c r="V74" s="10">
        <f t="shared" si="38"/>
        <v>114</v>
      </c>
      <c r="W74" s="11">
        <f t="shared" si="39"/>
        <v>63</v>
      </c>
      <c r="X74" s="13">
        <f t="shared" si="40"/>
        <v>9</v>
      </c>
      <c r="Y74" s="12" t="s">
        <v>342</v>
      </c>
      <c r="Z74" s="30">
        <f t="shared" si="41"/>
        <v>135</v>
      </c>
      <c r="AA74" s="13" t="s">
        <v>231</v>
      </c>
      <c r="AB74">
        <v>1</v>
      </c>
    </row>
    <row r="75" spans="1:28" x14ac:dyDescent="0.3">
      <c r="A75" s="15" t="s">
        <v>103</v>
      </c>
      <c r="B75" s="7">
        <v>4</v>
      </c>
      <c r="C75" s="7" t="s">
        <v>332</v>
      </c>
      <c r="D75" s="21" t="s">
        <v>191</v>
      </c>
      <c r="E75" s="9">
        <v>0</v>
      </c>
      <c r="F75" s="10">
        <v>0</v>
      </c>
      <c r="G75" s="11">
        <v>0</v>
      </c>
      <c r="H75" s="12">
        <v>0</v>
      </c>
      <c r="I75" s="10">
        <f t="shared" si="29"/>
        <v>6</v>
      </c>
      <c r="J75" s="11">
        <f t="shared" si="30"/>
        <v>9</v>
      </c>
      <c r="K75" s="11">
        <f t="shared" si="31"/>
        <v>9</v>
      </c>
      <c r="L75" s="13">
        <f t="shared" si="32"/>
        <v>1</v>
      </c>
      <c r="M75" s="14">
        <f t="shared" si="28"/>
        <v>46</v>
      </c>
      <c r="N75" s="6" t="s">
        <v>266</v>
      </c>
      <c r="O75" s="10">
        <f t="shared" si="33"/>
        <v>129</v>
      </c>
      <c r="P75" s="11">
        <f t="shared" si="34"/>
        <v>105</v>
      </c>
      <c r="Q75" s="13">
        <f t="shared" si="35"/>
        <v>36</v>
      </c>
      <c r="R75" s="35" t="s">
        <v>357</v>
      </c>
      <c r="S75" s="34">
        <f t="shared" si="36"/>
        <v>18</v>
      </c>
      <c r="T75" s="33" t="s">
        <v>299</v>
      </c>
      <c r="U75" s="9">
        <f t="shared" si="37"/>
        <v>3</v>
      </c>
      <c r="V75" s="10">
        <f t="shared" si="38"/>
        <v>114</v>
      </c>
      <c r="W75" s="11">
        <f t="shared" si="39"/>
        <v>63</v>
      </c>
      <c r="X75" s="13">
        <f t="shared" si="40"/>
        <v>9</v>
      </c>
      <c r="Y75" s="12" t="s">
        <v>342</v>
      </c>
      <c r="Z75" s="30">
        <f t="shared" si="41"/>
        <v>168</v>
      </c>
      <c r="AA75" s="13" t="s">
        <v>224</v>
      </c>
      <c r="AB75" t="s">
        <v>373</v>
      </c>
    </row>
    <row r="76" spans="1:28" ht="28.8" x14ac:dyDescent="0.3">
      <c r="A76" s="15" t="s">
        <v>106</v>
      </c>
      <c r="B76" s="7">
        <v>4</v>
      </c>
      <c r="C76" s="7" t="s">
        <v>332</v>
      </c>
      <c r="D76" s="23" t="s">
        <v>195</v>
      </c>
      <c r="E76" s="9">
        <v>2</v>
      </c>
      <c r="F76" s="10">
        <v>1</v>
      </c>
      <c r="G76" s="11">
        <v>1</v>
      </c>
      <c r="H76" s="12">
        <v>1</v>
      </c>
      <c r="I76" s="10">
        <f t="shared" si="29"/>
        <v>6</v>
      </c>
      <c r="J76" s="11">
        <f t="shared" si="30"/>
        <v>9</v>
      </c>
      <c r="K76" s="11">
        <f t="shared" si="31"/>
        <v>6</v>
      </c>
      <c r="L76" s="13">
        <f t="shared" si="32"/>
        <v>0</v>
      </c>
      <c r="M76" s="14">
        <f t="shared" si="28"/>
        <v>44</v>
      </c>
      <c r="N76" s="6" t="s">
        <v>268</v>
      </c>
      <c r="O76" s="10">
        <f t="shared" si="33"/>
        <v>129</v>
      </c>
      <c r="P76" s="11">
        <f t="shared" si="34"/>
        <v>105</v>
      </c>
      <c r="Q76" s="13">
        <f t="shared" si="35"/>
        <v>18</v>
      </c>
      <c r="R76" s="35" t="s">
        <v>358</v>
      </c>
      <c r="S76" s="34">
        <f t="shared" si="36"/>
        <v>18</v>
      </c>
      <c r="T76" s="33" t="s">
        <v>305</v>
      </c>
      <c r="U76" s="9">
        <f t="shared" si="37"/>
        <v>3</v>
      </c>
      <c r="V76" s="10">
        <f t="shared" si="38"/>
        <v>114</v>
      </c>
      <c r="W76" s="11">
        <f t="shared" si="39"/>
        <v>63</v>
      </c>
      <c r="X76" s="13">
        <f t="shared" si="40"/>
        <v>9</v>
      </c>
      <c r="Y76" s="12" t="s">
        <v>341</v>
      </c>
      <c r="Z76" s="30">
        <f t="shared" si="41"/>
        <v>155</v>
      </c>
      <c r="AA76" s="13" t="s">
        <v>226</v>
      </c>
      <c r="AB76">
        <v>1</v>
      </c>
    </row>
    <row r="77" spans="1:28" ht="28.8" x14ac:dyDescent="0.3">
      <c r="A77" s="15" t="s">
        <v>113</v>
      </c>
      <c r="B77" s="7">
        <v>4</v>
      </c>
      <c r="C77" s="7" t="s">
        <v>332</v>
      </c>
      <c r="D77" s="21" t="s">
        <v>191</v>
      </c>
      <c r="E77" s="9">
        <v>3</v>
      </c>
      <c r="F77" s="10">
        <v>1</v>
      </c>
      <c r="G77" s="11">
        <v>3</v>
      </c>
      <c r="H77" s="12">
        <v>3</v>
      </c>
      <c r="I77" s="10">
        <f t="shared" si="29"/>
        <v>6</v>
      </c>
      <c r="J77" s="11">
        <f t="shared" si="30"/>
        <v>9</v>
      </c>
      <c r="K77" s="11">
        <f t="shared" si="31"/>
        <v>0</v>
      </c>
      <c r="L77" s="13">
        <f t="shared" si="32"/>
        <v>0</v>
      </c>
      <c r="M77" s="14">
        <f t="shared" si="28"/>
        <v>40</v>
      </c>
      <c r="N77" s="6" t="s">
        <v>269</v>
      </c>
      <c r="O77" s="10">
        <f t="shared" si="33"/>
        <v>129</v>
      </c>
      <c r="P77" s="11">
        <f t="shared" si="34"/>
        <v>90</v>
      </c>
      <c r="Q77" s="13">
        <f t="shared" si="35"/>
        <v>6</v>
      </c>
      <c r="R77" s="35" t="s">
        <v>350</v>
      </c>
      <c r="S77" s="34">
        <f t="shared" si="36"/>
        <v>18</v>
      </c>
      <c r="T77" s="33" t="s">
        <v>305</v>
      </c>
      <c r="U77" s="9">
        <f t="shared" si="37"/>
        <v>3</v>
      </c>
      <c r="V77" s="10">
        <f t="shared" si="38"/>
        <v>114</v>
      </c>
      <c r="W77" s="11">
        <f t="shared" si="39"/>
        <v>59</v>
      </c>
      <c r="X77" s="13">
        <f t="shared" si="40"/>
        <v>3</v>
      </c>
      <c r="Y77" s="12" t="s">
        <v>343</v>
      </c>
      <c r="Z77" s="30">
        <f t="shared" si="41"/>
        <v>135</v>
      </c>
      <c r="AA77" s="13" t="s">
        <v>230</v>
      </c>
      <c r="AB77">
        <v>1</v>
      </c>
    </row>
    <row r="78" spans="1:28" ht="28.8" x14ac:dyDescent="0.3">
      <c r="A78" s="15" t="s">
        <v>117</v>
      </c>
      <c r="B78" s="7">
        <v>4</v>
      </c>
      <c r="C78" s="7" t="s">
        <v>332</v>
      </c>
      <c r="D78" s="8" t="s">
        <v>194</v>
      </c>
      <c r="E78" s="9">
        <v>5</v>
      </c>
      <c r="F78" s="10">
        <v>1</v>
      </c>
      <c r="G78" s="11">
        <v>6</v>
      </c>
      <c r="H78" s="12">
        <v>1</v>
      </c>
      <c r="I78" s="10">
        <f t="shared" si="29"/>
        <v>6</v>
      </c>
      <c r="J78" s="11">
        <f t="shared" si="30"/>
        <v>0</v>
      </c>
      <c r="K78" s="11">
        <f t="shared" si="31"/>
        <v>0</v>
      </c>
      <c r="L78" s="13">
        <f t="shared" si="32"/>
        <v>0</v>
      </c>
      <c r="M78" s="14">
        <f t="shared" si="28"/>
        <v>20</v>
      </c>
      <c r="N78" s="6" t="s">
        <v>267</v>
      </c>
      <c r="O78" s="10">
        <f t="shared" si="33"/>
        <v>117</v>
      </c>
      <c r="P78" s="11">
        <f t="shared" si="34"/>
        <v>44</v>
      </c>
      <c r="Q78" s="13">
        <f t="shared" si="35"/>
        <v>12</v>
      </c>
      <c r="R78" s="35" t="s">
        <v>351</v>
      </c>
      <c r="S78" s="34">
        <f t="shared" si="36"/>
        <v>18</v>
      </c>
      <c r="T78" s="33" t="s">
        <v>302</v>
      </c>
      <c r="U78" s="9">
        <f t="shared" si="37"/>
        <v>3</v>
      </c>
      <c r="V78" s="10">
        <f t="shared" si="38"/>
        <v>114</v>
      </c>
      <c r="W78" s="11">
        <f t="shared" si="39"/>
        <v>42</v>
      </c>
      <c r="X78" s="13">
        <f t="shared" si="40"/>
        <v>6</v>
      </c>
      <c r="Y78" s="12" t="s">
        <v>342</v>
      </c>
      <c r="Z78" s="30">
        <f t="shared" si="41"/>
        <v>60</v>
      </c>
      <c r="AA78" s="13" t="s">
        <v>229</v>
      </c>
      <c r="AB78">
        <v>1</v>
      </c>
    </row>
    <row r="79" spans="1:28" x14ac:dyDescent="0.3">
      <c r="A79" s="15" t="s">
        <v>137</v>
      </c>
      <c r="B79" s="7">
        <v>4</v>
      </c>
      <c r="C79" s="7" t="s">
        <v>332</v>
      </c>
      <c r="D79" s="16" t="s">
        <v>196</v>
      </c>
      <c r="E79" s="9">
        <v>1</v>
      </c>
      <c r="F79" s="10">
        <v>1</v>
      </c>
      <c r="G79" s="11">
        <v>1</v>
      </c>
      <c r="H79" s="12">
        <v>1</v>
      </c>
      <c r="I79" s="10">
        <f t="shared" si="29"/>
        <v>6</v>
      </c>
      <c r="J79" s="11">
        <f t="shared" si="30"/>
        <v>9</v>
      </c>
      <c r="K79" s="11">
        <f t="shared" si="31"/>
        <v>9</v>
      </c>
      <c r="L79" s="13">
        <f t="shared" si="32"/>
        <v>0</v>
      </c>
      <c r="M79" s="14">
        <f t="shared" si="28"/>
        <v>46</v>
      </c>
      <c r="N79" s="6" t="s">
        <v>257</v>
      </c>
      <c r="O79" s="10">
        <f t="shared" si="33"/>
        <v>129</v>
      </c>
      <c r="P79" s="11">
        <f t="shared" si="34"/>
        <v>105</v>
      </c>
      <c r="Q79" s="13">
        <f t="shared" si="35"/>
        <v>33</v>
      </c>
      <c r="R79" s="35" t="s">
        <v>358</v>
      </c>
      <c r="S79" s="34">
        <f t="shared" si="36"/>
        <v>18</v>
      </c>
      <c r="T79" s="33" t="s">
        <v>301</v>
      </c>
      <c r="U79" s="9">
        <f t="shared" si="37"/>
        <v>3</v>
      </c>
      <c r="V79" s="10">
        <f t="shared" si="38"/>
        <v>114</v>
      </c>
      <c r="W79" s="11">
        <f t="shared" si="39"/>
        <v>63</v>
      </c>
      <c r="X79" s="13">
        <f t="shared" si="40"/>
        <v>9</v>
      </c>
      <c r="Y79" s="12" t="s">
        <v>343</v>
      </c>
      <c r="Z79" s="30">
        <f t="shared" si="41"/>
        <v>165</v>
      </c>
      <c r="AA79" s="13" t="s">
        <v>223</v>
      </c>
      <c r="AB79" t="s">
        <v>373</v>
      </c>
    </row>
    <row r="80" spans="1:28" ht="28.8" x14ac:dyDescent="0.3">
      <c r="A80" s="15" t="s">
        <v>148</v>
      </c>
      <c r="B80" s="7">
        <v>4</v>
      </c>
      <c r="C80" s="7" t="s">
        <v>332</v>
      </c>
      <c r="D80" s="22" t="s">
        <v>197</v>
      </c>
      <c r="E80" s="9">
        <v>4</v>
      </c>
      <c r="F80" s="10">
        <v>1</v>
      </c>
      <c r="G80" s="11">
        <v>1</v>
      </c>
      <c r="H80" s="12">
        <v>4</v>
      </c>
      <c r="I80" s="10">
        <f t="shared" si="29"/>
        <v>6</v>
      </c>
      <c r="J80" s="11">
        <f t="shared" si="30"/>
        <v>6</v>
      </c>
      <c r="K80" s="11">
        <f t="shared" si="31"/>
        <v>0</v>
      </c>
      <c r="L80" s="13">
        <f t="shared" si="32"/>
        <v>0</v>
      </c>
      <c r="M80" s="14">
        <f t="shared" si="28"/>
        <v>32</v>
      </c>
      <c r="N80" s="6" t="s">
        <v>268</v>
      </c>
      <c r="O80" s="10">
        <f t="shared" si="33"/>
        <v>129</v>
      </c>
      <c r="P80" s="11">
        <f t="shared" si="34"/>
        <v>68</v>
      </c>
      <c r="Q80" s="13">
        <f t="shared" si="35"/>
        <v>12</v>
      </c>
      <c r="R80" s="35" t="s">
        <v>358</v>
      </c>
      <c r="S80" s="34">
        <f t="shared" si="36"/>
        <v>18</v>
      </c>
      <c r="T80" s="33" t="s">
        <v>303</v>
      </c>
      <c r="U80" s="9">
        <f t="shared" si="37"/>
        <v>3</v>
      </c>
      <c r="V80" s="10">
        <f t="shared" si="38"/>
        <v>114</v>
      </c>
      <c r="W80" s="11">
        <f t="shared" si="39"/>
        <v>57</v>
      </c>
      <c r="X80" s="13">
        <f t="shared" si="40"/>
        <v>6</v>
      </c>
      <c r="Y80" s="12" t="s">
        <v>341</v>
      </c>
      <c r="Z80" s="30">
        <f t="shared" si="41"/>
        <v>105</v>
      </c>
      <c r="AA80" s="13" t="s">
        <v>226</v>
      </c>
      <c r="AB80">
        <v>1</v>
      </c>
    </row>
    <row r="81" spans="1:28" ht="28.8" x14ac:dyDescent="0.3">
      <c r="A81" s="19" t="s">
        <v>85</v>
      </c>
      <c r="B81" s="20">
        <v>5</v>
      </c>
      <c r="C81" s="20" t="s">
        <v>334</v>
      </c>
      <c r="D81" s="18" t="s">
        <v>193</v>
      </c>
      <c r="E81" s="9">
        <v>0</v>
      </c>
      <c r="F81" s="10">
        <v>0</v>
      </c>
      <c r="G81" s="11">
        <v>0</v>
      </c>
      <c r="H81" s="12">
        <v>0</v>
      </c>
      <c r="I81" s="10">
        <f t="shared" si="29"/>
        <v>6</v>
      </c>
      <c r="J81" s="11">
        <f t="shared" si="30"/>
        <v>9</v>
      </c>
      <c r="K81" s="11">
        <f t="shared" si="31"/>
        <v>9</v>
      </c>
      <c r="L81" s="13">
        <f t="shared" si="32"/>
        <v>1</v>
      </c>
      <c r="M81" s="14">
        <f t="shared" si="28"/>
        <v>46</v>
      </c>
      <c r="N81" s="6" t="s">
        <v>256</v>
      </c>
      <c r="O81" s="10">
        <f t="shared" si="33"/>
        <v>129</v>
      </c>
      <c r="P81" s="11">
        <f t="shared" si="34"/>
        <v>105</v>
      </c>
      <c r="Q81" s="13">
        <f t="shared" si="35"/>
        <v>36</v>
      </c>
      <c r="R81" s="35" t="s">
        <v>353</v>
      </c>
      <c r="S81" s="34">
        <f t="shared" si="36"/>
        <v>18</v>
      </c>
      <c r="T81" s="33" t="s">
        <v>294</v>
      </c>
      <c r="U81" s="9">
        <f t="shared" si="37"/>
        <v>3</v>
      </c>
      <c r="V81" s="10">
        <f t="shared" si="38"/>
        <v>114</v>
      </c>
      <c r="W81" s="11">
        <f t="shared" si="39"/>
        <v>63</v>
      </c>
      <c r="X81" s="13">
        <f t="shared" si="40"/>
        <v>9</v>
      </c>
      <c r="Y81" s="12" t="s">
        <v>345</v>
      </c>
      <c r="Z81" s="30">
        <f t="shared" si="41"/>
        <v>168</v>
      </c>
      <c r="AA81" s="13" t="s">
        <v>238</v>
      </c>
      <c r="AB81">
        <v>0</v>
      </c>
    </row>
    <row r="82" spans="1:28" ht="28.8" x14ac:dyDescent="0.3">
      <c r="A82" s="19" t="s">
        <v>111</v>
      </c>
      <c r="B82" s="20">
        <v>5</v>
      </c>
      <c r="C82" s="20" t="s">
        <v>334</v>
      </c>
      <c r="D82" s="16" t="s">
        <v>196</v>
      </c>
      <c r="E82" s="9">
        <v>0</v>
      </c>
      <c r="F82" s="10">
        <v>0</v>
      </c>
      <c r="G82" s="11">
        <v>0</v>
      </c>
      <c r="H82" s="12">
        <v>0</v>
      </c>
      <c r="I82" s="10">
        <f t="shared" si="29"/>
        <v>6</v>
      </c>
      <c r="J82" s="11">
        <f t="shared" si="30"/>
        <v>9</v>
      </c>
      <c r="K82" s="11">
        <f t="shared" si="31"/>
        <v>9</v>
      </c>
      <c r="L82" s="13">
        <f t="shared" si="32"/>
        <v>1</v>
      </c>
      <c r="M82" s="14">
        <f t="shared" si="28"/>
        <v>46</v>
      </c>
      <c r="N82" s="6" t="s">
        <v>260</v>
      </c>
      <c r="O82" s="10">
        <f t="shared" si="33"/>
        <v>129</v>
      </c>
      <c r="P82" s="11">
        <f t="shared" si="34"/>
        <v>105</v>
      </c>
      <c r="Q82" s="13">
        <f t="shared" si="35"/>
        <v>36</v>
      </c>
      <c r="R82" s="35" t="s">
        <v>359</v>
      </c>
      <c r="S82" s="34">
        <f t="shared" si="36"/>
        <v>18</v>
      </c>
      <c r="T82" s="33" t="s">
        <v>298</v>
      </c>
      <c r="U82" s="9">
        <f t="shared" si="37"/>
        <v>3</v>
      </c>
      <c r="V82" s="10">
        <f t="shared" si="38"/>
        <v>114</v>
      </c>
      <c r="W82" s="11">
        <f t="shared" si="39"/>
        <v>63</v>
      </c>
      <c r="X82" s="13">
        <f t="shared" si="40"/>
        <v>9</v>
      </c>
      <c r="Y82" s="12" t="s">
        <v>344</v>
      </c>
      <c r="Z82" s="30">
        <f t="shared" si="41"/>
        <v>168</v>
      </c>
      <c r="AA82" s="13" t="s">
        <v>236</v>
      </c>
      <c r="AB82" t="s">
        <v>373</v>
      </c>
    </row>
    <row r="83" spans="1:28" x14ac:dyDescent="0.3">
      <c r="A83" s="19" t="s">
        <v>120</v>
      </c>
      <c r="B83" s="20">
        <v>5</v>
      </c>
      <c r="C83" s="20" t="s">
        <v>334</v>
      </c>
      <c r="D83" s="18" t="s">
        <v>193</v>
      </c>
      <c r="E83" s="9">
        <v>0</v>
      </c>
      <c r="F83" s="10">
        <v>0</v>
      </c>
      <c r="G83" s="11">
        <v>0</v>
      </c>
      <c r="H83" s="12">
        <v>0</v>
      </c>
      <c r="I83" s="10">
        <f t="shared" si="29"/>
        <v>6</v>
      </c>
      <c r="J83" s="11">
        <f t="shared" si="30"/>
        <v>9</v>
      </c>
      <c r="K83" s="11">
        <f t="shared" si="31"/>
        <v>9</v>
      </c>
      <c r="L83" s="13">
        <f t="shared" si="32"/>
        <v>1</v>
      </c>
      <c r="M83" s="14">
        <f t="shared" si="28"/>
        <v>46</v>
      </c>
      <c r="N83" s="6" t="s">
        <v>261</v>
      </c>
      <c r="O83" s="10">
        <f t="shared" si="33"/>
        <v>129</v>
      </c>
      <c r="P83" s="11">
        <f t="shared" si="34"/>
        <v>105</v>
      </c>
      <c r="Q83" s="13">
        <f t="shared" si="35"/>
        <v>36</v>
      </c>
      <c r="R83" s="35" t="s">
        <v>353</v>
      </c>
      <c r="S83" s="34">
        <f t="shared" si="36"/>
        <v>18</v>
      </c>
      <c r="T83" s="33" t="s">
        <v>299</v>
      </c>
      <c r="U83" s="9">
        <f t="shared" si="37"/>
        <v>3</v>
      </c>
      <c r="V83" s="10">
        <f t="shared" si="38"/>
        <v>114</v>
      </c>
      <c r="W83" s="11">
        <f t="shared" si="39"/>
        <v>63</v>
      </c>
      <c r="X83" s="13">
        <f t="shared" si="40"/>
        <v>9</v>
      </c>
      <c r="Y83" s="12" t="s">
        <v>346</v>
      </c>
      <c r="Z83" s="30">
        <f t="shared" si="41"/>
        <v>168</v>
      </c>
      <c r="AA83" s="13" t="s">
        <v>238</v>
      </c>
      <c r="AB83">
        <v>1</v>
      </c>
    </row>
    <row r="84" spans="1:28" ht="28.8" x14ac:dyDescent="0.3">
      <c r="A84" s="19" t="s">
        <v>124</v>
      </c>
      <c r="B84" s="20">
        <v>5</v>
      </c>
      <c r="C84" s="20" t="s">
        <v>334</v>
      </c>
      <c r="D84" s="17" t="s">
        <v>192</v>
      </c>
      <c r="E84" s="9">
        <v>0</v>
      </c>
      <c r="F84" s="10">
        <v>0</v>
      </c>
      <c r="G84" s="11">
        <v>0</v>
      </c>
      <c r="H84" s="12">
        <v>0</v>
      </c>
      <c r="I84" s="10">
        <f t="shared" si="29"/>
        <v>6</v>
      </c>
      <c r="J84" s="11">
        <f t="shared" si="30"/>
        <v>9</v>
      </c>
      <c r="K84" s="11">
        <f t="shared" si="31"/>
        <v>9</v>
      </c>
      <c r="L84" s="13">
        <f t="shared" si="32"/>
        <v>1</v>
      </c>
      <c r="M84" s="14">
        <f t="shared" si="28"/>
        <v>46</v>
      </c>
      <c r="N84" s="6" t="s">
        <v>262</v>
      </c>
      <c r="O84" s="10">
        <f t="shared" si="33"/>
        <v>129</v>
      </c>
      <c r="P84" s="11">
        <f t="shared" si="34"/>
        <v>105</v>
      </c>
      <c r="Q84" s="13">
        <f t="shared" si="35"/>
        <v>36</v>
      </c>
      <c r="R84" s="35" t="s">
        <v>359</v>
      </c>
      <c r="S84" s="34">
        <f t="shared" si="36"/>
        <v>18</v>
      </c>
      <c r="T84" s="33" t="s">
        <v>297</v>
      </c>
      <c r="U84" s="9">
        <f t="shared" si="37"/>
        <v>3</v>
      </c>
      <c r="V84" s="10">
        <f t="shared" si="38"/>
        <v>114</v>
      </c>
      <c r="W84" s="11">
        <f t="shared" si="39"/>
        <v>63</v>
      </c>
      <c r="X84" s="13">
        <f t="shared" si="40"/>
        <v>9</v>
      </c>
      <c r="Y84" s="12" t="s">
        <v>346</v>
      </c>
      <c r="Z84" s="30">
        <f t="shared" si="41"/>
        <v>168</v>
      </c>
      <c r="AA84" s="13" t="s">
        <v>233</v>
      </c>
      <c r="AB84">
        <v>1</v>
      </c>
    </row>
    <row r="85" spans="1:28" ht="28.8" x14ac:dyDescent="0.3">
      <c r="A85" s="19" t="s">
        <v>126</v>
      </c>
      <c r="B85" s="20">
        <v>5</v>
      </c>
      <c r="C85" s="20" t="s">
        <v>334</v>
      </c>
      <c r="D85" s="23" t="s">
        <v>195</v>
      </c>
      <c r="E85" s="9">
        <v>6</v>
      </c>
      <c r="F85" s="10">
        <v>10</v>
      </c>
      <c r="G85" s="11">
        <v>6</v>
      </c>
      <c r="H85" s="12">
        <v>6</v>
      </c>
      <c r="I85" s="10">
        <f t="shared" si="29"/>
        <v>0</v>
      </c>
      <c r="J85" s="11">
        <f t="shared" si="30"/>
        <v>0</v>
      </c>
      <c r="K85" s="11">
        <f t="shared" si="31"/>
        <v>0</v>
      </c>
      <c r="L85" s="13">
        <f t="shared" si="32"/>
        <v>0</v>
      </c>
      <c r="M85" s="14">
        <f t="shared" si="28"/>
        <v>0</v>
      </c>
      <c r="N85" s="6" t="s">
        <v>260</v>
      </c>
      <c r="O85" s="10">
        <f t="shared" si="33"/>
        <v>62</v>
      </c>
      <c r="P85" s="11">
        <f t="shared" si="34"/>
        <v>0</v>
      </c>
      <c r="Q85" s="13">
        <f t="shared" si="35"/>
        <v>0</v>
      </c>
      <c r="R85" s="35" t="s">
        <v>359</v>
      </c>
      <c r="S85" s="34">
        <f t="shared" si="36"/>
        <v>12</v>
      </c>
      <c r="T85" s="33" t="s">
        <v>298</v>
      </c>
      <c r="U85" s="9">
        <f t="shared" si="37"/>
        <v>2</v>
      </c>
      <c r="V85" s="10">
        <f t="shared" si="38"/>
        <v>76</v>
      </c>
      <c r="W85" s="11">
        <f t="shared" si="39"/>
        <v>0</v>
      </c>
      <c r="X85" s="13">
        <f t="shared" si="40"/>
        <v>0</v>
      </c>
      <c r="Y85" s="12" t="s">
        <v>346</v>
      </c>
      <c r="Z85" s="30">
        <f t="shared" si="41"/>
        <v>0</v>
      </c>
      <c r="AA85" s="13" t="s">
        <v>236</v>
      </c>
      <c r="AB85">
        <v>1</v>
      </c>
    </row>
    <row r="86" spans="1:28" x14ac:dyDescent="0.3">
      <c r="A86" s="19" t="s">
        <v>130</v>
      </c>
      <c r="B86" s="20">
        <v>5</v>
      </c>
      <c r="C86" s="20" t="s">
        <v>334</v>
      </c>
      <c r="D86" s="8" t="s">
        <v>194</v>
      </c>
      <c r="E86" s="9">
        <v>6</v>
      </c>
      <c r="F86" s="10">
        <v>8</v>
      </c>
      <c r="G86" s="11">
        <v>8</v>
      </c>
      <c r="H86" s="12">
        <v>1</v>
      </c>
      <c r="I86" s="10">
        <f t="shared" si="29"/>
        <v>0</v>
      </c>
      <c r="J86" s="11">
        <f t="shared" si="30"/>
        <v>0</v>
      </c>
      <c r="K86" s="11">
        <f t="shared" si="31"/>
        <v>0</v>
      </c>
      <c r="L86" s="13">
        <f t="shared" si="32"/>
        <v>0</v>
      </c>
      <c r="M86" s="14">
        <f t="shared" si="28"/>
        <v>0</v>
      </c>
      <c r="N86" s="6" t="s">
        <v>259</v>
      </c>
      <c r="O86" s="10">
        <f t="shared" si="33"/>
        <v>73</v>
      </c>
      <c r="P86" s="11">
        <f t="shared" si="34"/>
        <v>22</v>
      </c>
      <c r="Q86" s="13">
        <f t="shared" si="35"/>
        <v>6</v>
      </c>
      <c r="R86" s="35" t="s">
        <v>360</v>
      </c>
      <c r="S86" s="34">
        <f t="shared" si="36"/>
        <v>14</v>
      </c>
      <c r="T86" s="33" t="s">
        <v>299</v>
      </c>
      <c r="U86" s="9">
        <f t="shared" si="37"/>
        <v>3</v>
      </c>
      <c r="V86" s="10">
        <f t="shared" si="38"/>
        <v>94</v>
      </c>
      <c r="W86" s="11">
        <f t="shared" si="39"/>
        <v>21</v>
      </c>
      <c r="X86" s="13">
        <f t="shared" si="40"/>
        <v>3</v>
      </c>
      <c r="Y86" s="12" t="s">
        <v>345</v>
      </c>
      <c r="Z86" s="30">
        <f t="shared" si="41"/>
        <v>0</v>
      </c>
      <c r="AA86" s="13" t="s">
        <v>235</v>
      </c>
      <c r="AB86">
        <v>1</v>
      </c>
    </row>
    <row r="87" spans="1:28" ht="28.8" x14ac:dyDescent="0.3">
      <c r="A87" s="19" t="s">
        <v>138</v>
      </c>
      <c r="B87" s="20">
        <v>5</v>
      </c>
      <c r="C87" s="20" t="s">
        <v>334</v>
      </c>
      <c r="D87" s="23" t="s">
        <v>195</v>
      </c>
      <c r="E87" s="9">
        <v>2</v>
      </c>
      <c r="F87" s="10">
        <v>1</v>
      </c>
      <c r="G87" s="11">
        <v>1</v>
      </c>
      <c r="H87" s="12">
        <v>1</v>
      </c>
      <c r="I87" s="10">
        <f t="shared" si="29"/>
        <v>6</v>
      </c>
      <c r="J87" s="11">
        <f t="shared" si="30"/>
        <v>9</v>
      </c>
      <c r="K87" s="11">
        <f t="shared" si="31"/>
        <v>6</v>
      </c>
      <c r="L87" s="13">
        <f t="shared" si="32"/>
        <v>0</v>
      </c>
      <c r="M87" s="14">
        <f t="shared" si="28"/>
        <v>44</v>
      </c>
      <c r="N87" s="6" t="s">
        <v>258</v>
      </c>
      <c r="O87" s="10">
        <f t="shared" si="33"/>
        <v>129</v>
      </c>
      <c r="P87" s="11">
        <f t="shared" si="34"/>
        <v>105</v>
      </c>
      <c r="Q87" s="13">
        <f t="shared" si="35"/>
        <v>18</v>
      </c>
      <c r="R87" s="35" t="s">
        <v>359</v>
      </c>
      <c r="S87" s="34">
        <f t="shared" si="36"/>
        <v>18</v>
      </c>
      <c r="T87" s="33" t="s">
        <v>296</v>
      </c>
      <c r="U87" s="9">
        <f t="shared" si="37"/>
        <v>3</v>
      </c>
      <c r="V87" s="10">
        <f t="shared" si="38"/>
        <v>114</v>
      </c>
      <c r="W87" s="11">
        <f t="shared" si="39"/>
        <v>63</v>
      </c>
      <c r="X87" s="13">
        <f t="shared" si="40"/>
        <v>9</v>
      </c>
      <c r="Y87" s="12" t="s">
        <v>346</v>
      </c>
      <c r="Z87" s="30">
        <f t="shared" si="41"/>
        <v>155</v>
      </c>
      <c r="AA87" s="13" t="s">
        <v>240</v>
      </c>
      <c r="AB87">
        <v>1</v>
      </c>
    </row>
    <row r="88" spans="1:28" ht="28.8" x14ac:dyDescent="0.3">
      <c r="A88" s="19" t="s">
        <v>146</v>
      </c>
      <c r="B88" s="20">
        <v>5</v>
      </c>
      <c r="C88" s="20" t="s">
        <v>334</v>
      </c>
      <c r="D88" s="17" t="s">
        <v>192</v>
      </c>
      <c r="E88" s="9">
        <v>0</v>
      </c>
      <c r="F88" s="10">
        <v>0</v>
      </c>
      <c r="G88" s="11">
        <v>0</v>
      </c>
      <c r="H88" s="12">
        <v>0</v>
      </c>
      <c r="I88" s="10">
        <f t="shared" si="29"/>
        <v>6</v>
      </c>
      <c r="J88" s="11">
        <f t="shared" si="30"/>
        <v>9</v>
      </c>
      <c r="K88" s="11">
        <f t="shared" si="31"/>
        <v>9</v>
      </c>
      <c r="L88" s="13">
        <f t="shared" si="32"/>
        <v>1</v>
      </c>
      <c r="M88" s="14">
        <f t="shared" si="28"/>
        <v>46</v>
      </c>
      <c r="N88" s="6" t="s">
        <v>263</v>
      </c>
      <c r="O88" s="10">
        <f t="shared" si="33"/>
        <v>129</v>
      </c>
      <c r="P88" s="11">
        <f t="shared" si="34"/>
        <v>105</v>
      </c>
      <c r="Q88" s="13">
        <f t="shared" si="35"/>
        <v>36</v>
      </c>
      <c r="R88" s="35" t="s">
        <v>356</v>
      </c>
      <c r="S88" s="34">
        <f t="shared" si="36"/>
        <v>18</v>
      </c>
      <c r="T88" s="33" t="s">
        <v>297</v>
      </c>
      <c r="U88" s="9">
        <f t="shared" si="37"/>
        <v>3</v>
      </c>
      <c r="V88" s="10">
        <f t="shared" si="38"/>
        <v>114</v>
      </c>
      <c r="W88" s="11">
        <f t="shared" si="39"/>
        <v>63</v>
      </c>
      <c r="X88" s="13">
        <f t="shared" si="40"/>
        <v>9</v>
      </c>
      <c r="Y88" s="12" t="s">
        <v>340</v>
      </c>
      <c r="Z88" s="30">
        <f t="shared" si="41"/>
        <v>168</v>
      </c>
      <c r="AA88" s="13" t="s">
        <v>217</v>
      </c>
      <c r="AB88" t="s">
        <v>373</v>
      </c>
    </row>
    <row r="89" spans="1:28" ht="28.8" x14ac:dyDescent="0.3">
      <c r="A89" s="19" t="s">
        <v>173</v>
      </c>
      <c r="B89" s="20">
        <v>5</v>
      </c>
      <c r="C89" s="20" t="s">
        <v>334</v>
      </c>
      <c r="D89" s="23" t="s">
        <v>195</v>
      </c>
      <c r="E89" s="9">
        <v>0</v>
      </c>
      <c r="F89" s="10">
        <v>0</v>
      </c>
      <c r="G89" s="11">
        <v>0</v>
      </c>
      <c r="H89" s="12">
        <v>0</v>
      </c>
      <c r="I89" s="10">
        <f t="shared" si="29"/>
        <v>6</v>
      </c>
      <c r="J89" s="11">
        <f t="shared" si="30"/>
        <v>9</v>
      </c>
      <c r="K89" s="11">
        <f t="shared" si="31"/>
        <v>9</v>
      </c>
      <c r="L89" s="13">
        <f t="shared" si="32"/>
        <v>1</v>
      </c>
      <c r="M89" s="14">
        <f t="shared" si="28"/>
        <v>46</v>
      </c>
      <c r="N89" s="6" t="s">
        <v>258</v>
      </c>
      <c r="O89" s="10">
        <f t="shared" si="33"/>
        <v>129</v>
      </c>
      <c r="P89" s="11">
        <f t="shared" si="34"/>
        <v>105</v>
      </c>
      <c r="Q89" s="13">
        <f t="shared" si="35"/>
        <v>36</v>
      </c>
      <c r="R89" s="35" t="s">
        <v>354</v>
      </c>
      <c r="S89" s="34">
        <f t="shared" si="36"/>
        <v>18</v>
      </c>
      <c r="T89" s="33" t="s">
        <v>295</v>
      </c>
      <c r="U89" s="9">
        <f t="shared" si="37"/>
        <v>3</v>
      </c>
      <c r="V89" s="10">
        <f t="shared" si="38"/>
        <v>114</v>
      </c>
      <c r="W89" s="11">
        <f t="shared" si="39"/>
        <v>63</v>
      </c>
      <c r="X89" s="13">
        <f t="shared" si="40"/>
        <v>9</v>
      </c>
      <c r="Y89" s="12" t="s">
        <v>344</v>
      </c>
      <c r="Z89" s="30">
        <f t="shared" si="41"/>
        <v>168</v>
      </c>
      <c r="AA89" s="13" t="s">
        <v>234</v>
      </c>
      <c r="AB89" t="s">
        <v>373</v>
      </c>
    </row>
    <row r="90" spans="1:28" ht="28.8" x14ac:dyDescent="0.3">
      <c r="A90" s="19" t="s">
        <v>162</v>
      </c>
      <c r="B90" s="20">
        <v>5</v>
      </c>
      <c r="C90" s="20" t="s">
        <v>334</v>
      </c>
      <c r="D90" s="21" t="s">
        <v>191</v>
      </c>
      <c r="E90" s="9">
        <v>0</v>
      </c>
      <c r="F90" s="10">
        <v>0</v>
      </c>
      <c r="G90" s="11">
        <v>0</v>
      </c>
      <c r="H90" s="12">
        <v>0</v>
      </c>
      <c r="I90" s="10">
        <f t="shared" si="29"/>
        <v>6</v>
      </c>
      <c r="J90" s="11">
        <f t="shared" si="30"/>
        <v>9</v>
      </c>
      <c r="K90" s="11">
        <f t="shared" si="31"/>
        <v>9</v>
      </c>
      <c r="L90" s="13">
        <f t="shared" si="32"/>
        <v>1</v>
      </c>
      <c r="M90" s="14">
        <f t="shared" si="28"/>
        <v>46</v>
      </c>
      <c r="N90" s="6" t="s">
        <v>256</v>
      </c>
      <c r="O90" s="10">
        <f t="shared" si="33"/>
        <v>129</v>
      </c>
      <c r="P90" s="11">
        <f t="shared" si="34"/>
        <v>105</v>
      </c>
      <c r="Q90" s="13">
        <f t="shared" si="35"/>
        <v>36</v>
      </c>
      <c r="R90" s="35" t="s">
        <v>360</v>
      </c>
      <c r="S90" s="34">
        <f t="shared" si="36"/>
        <v>18</v>
      </c>
      <c r="T90" s="33" t="s">
        <v>293</v>
      </c>
      <c r="U90" s="9">
        <f t="shared" si="37"/>
        <v>3</v>
      </c>
      <c r="V90" s="10">
        <f t="shared" si="38"/>
        <v>114</v>
      </c>
      <c r="W90" s="11">
        <f t="shared" si="39"/>
        <v>63</v>
      </c>
      <c r="X90" s="13">
        <f t="shared" si="40"/>
        <v>9</v>
      </c>
      <c r="Y90" s="12" t="s">
        <v>345</v>
      </c>
      <c r="Z90" s="30">
        <f t="shared" si="41"/>
        <v>168</v>
      </c>
      <c r="AA90" s="13" t="s">
        <v>234</v>
      </c>
      <c r="AB90" t="s">
        <v>373</v>
      </c>
    </row>
    <row r="91" spans="1:28" ht="28.8" x14ac:dyDescent="0.3">
      <c r="A91" s="15" t="s">
        <v>119</v>
      </c>
      <c r="B91" s="7">
        <v>4</v>
      </c>
      <c r="C91" s="7" t="s">
        <v>334</v>
      </c>
      <c r="D91" s="22" t="s">
        <v>197</v>
      </c>
      <c r="E91" s="9">
        <v>0</v>
      </c>
      <c r="F91" s="10">
        <v>0</v>
      </c>
      <c r="G91" s="11">
        <v>0</v>
      </c>
      <c r="H91" s="12">
        <v>0</v>
      </c>
      <c r="I91" s="10">
        <f t="shared" si="29"/>
        <v>6</v>
      </c>
      <c r="J91" s="11">
        <f t="shared" si="30"/>
        <v>9</v>
      </c>
      <c r="K91" s="11">
        <f t="shared" si="31"/>
        <v>9</v>
      </c>
      <c r="L91" s="13">
        <f t="shared" si="32"/>
        <v>1</v>
      </c>
      <c r="M91" s="14">
        <f t="shared" si="28"/>
        <v>46</v>
      </c>
      <c r="N91" s="6" t="s">
        <v>263</v>
      </c>
      <c r="O91" s="10">
        <f t="shared" si="33"/>
        <v>129</v>
      </c>
      <c r="P91" s="11">
        <f t="shared" si="34"/>
        <v>105</v>
      </c>
      <c r="Q91" s="13">
        <f t="shared" si="35"/>
        <v>36</v>
      </c>
      <c r="R91" s="35" t="s">
        <v>360</v>
      </c>
      <c r="S91" s="34">
        <f t="shared" si="36"/>
        <v>18</v>
      </c>
      <c r="T91" s="33" t="s">
        <v>298</v>
      </c>
      <c r="U91" s="9">
        <f t="shared" si="37"/>
        <v>3</v>
      </c>
      <c r="V91" s="10">
        <f t="shared" si="38"/>
        <v>114</v>
      </c>
      <c r="W91" s="11">
        <f t="shared" si="39"/>
        <v>63</v>
      </c>
      <c r="X91" s="13">
        <f t="shared" si="40"/>
        <v>9</v>
      </c>
      <c r="Y91" s="12" t="s">
        <v>345</v>
      </c>
      <c r="Z91" s="30">
        <f t="shared" si="41"/>
        <v>168</v>
      </c>
      <c r="AA91" s="13" t="s">
        <v>239</v>
      </c>
      <c r="AB91">
        <v>1</v>
      </c>
    </row>
    <row r="92" spans="1:28" ht="28.8" x14ac:dyDescent="0.3">
      <c r="A92" s="15" t="s">
        <v>150</v>
      </c>
      <c r="B92" s="7">
        <v>4</v>
      </c>
      <c r="C92" s="7" t="s">
        <v>334</v>
      </c>
      <c r="D92" s="8" t="s">
        <v>194</v>
      </c>
      <c r="E92" s="9">
        <v>0</v>
      </c>
      <c r="F92" s="10">
        <v>0</v>
      </c>
      <c r="G92" s="11">
        <v>0</v>
      </c>
      <c r="H92" s="12">
        <v>0</v>
      </c>
      <c r="I92" s="10">
        <f t="shared" si="29"/>
        <v>6</v>
      </c>
      <c r="J92" s="11">
        <f t="shared" si="30"/>
        <v>9</v>
      </c>
      <c r="K92" s="11">
        <f t="shared" si="31"/>
        <v>9</v>
      </c>
      <c r="L92" s="13">
        <f t="shared" si="32"/>
        <v>1</v>
      </c>
      <c r="M92" s="14">
        <f t="shared" si="28"/>
        <v>46</v>
      </c>
      <c r="N92" s="6" t="s">
        <v>262</v>
      </c>
      <c r="O92" s="10">
        <f t="shared" si="33"/>
        <v>129</v>
      </c>
      <c r="P92" s="11">
        <f t="shared" si="34"/>
        <v>105</v>
      </c>
      <c r="Q92" s="13">
        <f t="shared" si="35"/>
        <v>36</v>
      </c>
      <c r="R92" s="35" t="s">
        <v>359</v>
      </c>
      <c r="S92" s="34">
        <f t="shared" si="36"/>
        <v>18</v>
      </c>
      <c r="T92" s="33" t="s">
        <v>300</v>
      </c>
      <c r="U92" s="9">
        <f t="shared" si="37"/>
        <v>3</v>
      </c>
      <c r="V92" s="10">
        <f t="shared" si="38"/>
        <v>114</v>
      </c>
      <c r="W92" s="11">
        <f t="shared" si="39"/>
        <v>63</v>
      </c>
      <c r="X92" s="13">
        <f t="shared" si="40"/>
        <v>9</v>
      </c>
      <c r="Y92" s="12" t="s">
        <v>344</v>
      </c>
      <c r="Z92" s="30">
        <f t="shared" si="41"/>
        <v>168</v>
      </c>
      <c r="AA92" s="13" t="s">
        <v>240</v>
      </c>
      <c r="AB92">
        <v>1</v>
      </c>
    </row>
    <row r="93" spans="1:28" x14ac:dyDescent="0.3">
      <c r="A93" s="15" t="s">
        <v>156</v>
      </c>
      <c r="B93" s="7">
        <v>4</v>
      </c>
      <c r="C93" s="7" t="s">
        <v>334</v>
      </c>
      <c r="D93" s="8" t="s">
        <v>194</v>
      </c>
      <c r="E93" s="9">
        <v>1</v>
      </c>
      <c r="F93" s="10">
        <v>1</v>
      </c>
      <c r="G93" s="11">
        <v>1</v>
      </c>
      <c r="H93" s="12">
        <v>1</v>
      </c>
      <c r="I93" s="10">
        <f t="shared" si="29"/>
        <v>6</v>
      </c>
      <c r="J93" s="11">
        <f t="shared" si="30"/>
        <v>9</v>
      </c>
      <c r="K93" s="11">
        <f t="shared" si="31"/>
        <v>9</v>
      </c>
      <c r="L93" s="13">
        <f t="shared" si="32"/>
        <v>0</v>
      </c>
      <c r="M93" s="14">
        <f t="shared" si="28"/>
        <v>46</v>
      </c>
      <c r="N93" s="6" t="s">
        <v>259</v>
      </c>
      <c r="O93" s="10">
        <f t="shared" si="33"/>
        <v>129</v>
      </c>
      <c r="P93" s="11">
        <f t="shared" si="34"/>
        <v>105</v>
      </c>
      <c r="Q93" s="13">
        <f t="shared" si="35"/>
        <v>33</v>
      </c>
      <c r="R93" s="35" t="s">
        <v>360</v>
      </c>
      <c r="S93" s="34">
        <f t="shared" si="36"/>
        <v>18</v>
      </c>
      <c r="T93" s="33" t="s">
        <v>297</v>
      </c>
      <c r="U93" s="9">
        <f t="shared" si="37"/>
        <v>3</v>
      </c>
      <c r="V93" s="10">
        <f t="shared" si="38"/>
        <v>114</v>
      </c>
      <c r="W93" s="11">
        <f t="shared" si="39"/>
        <v>63</v>
      </c>
      <c r="X93" s="13">
        <f t="shared" si="40"/>
        <v>9</v>
      </c>
      <c r="Y93" s="12" t="s">
        <v>344</v>
      </c>
      <c r="Z93" s="30">
        <f t="shared" si="41"/>
        <v>165</v>
      </c>
      <c r="AA93" s="13" t="s">
        <v>237</v>
      </c>
      <c r="AB93">
        <v>1</v>
      </c>
    </row>
    <row r="94" spans="1:28" x14ac:dyDescent="0.3">
      <c r="A94" s="15" t="s">
        <v>157</v>
      </c>
      <c r="B94" s="7">
        <v>4</v>
      </c>
      <c r="C94" s="7" t="s">
        <v>334</v>
      </c>
      <c r="D94" s="18" t="s">
        <v>193</v>
      </c>
      <c r="E94" s="9">
        <v>0</v>
      </c>
      <c r="F94" s="10">
        <v>0</v>
      </c>
      <c r="G94" s="11">
        <v>0</v>
      </c>
      <c r="H94" s="12">
        <v>0</v>
      </c>
      <c r="I94" s="10">
        <f t="shared" si="29"/>
        <v>6</v>
      </c>
      <c r="J94" s="11">
        <f t="shared" si="30"/>
        <v>9</v>
      </c>
      <c r="K94" s="11">
        <f t="shared" si="31"/>
        <v>9</v>
      </c>
      <c r="L94" s="13">
        <f t="shared" si="32"/>
        <v>1</v>
      </c>
      <c r="M94" s="14">
        <f t="shared" si="28"/>
        <v>46</v>
      </c>
      <c r="N94" s="6" t="s">
        <v>260</v>
      </c>
      <c r="O94" s="10">
        <f t="shared" si="33"/>
        <v>129</v>
      </c>
      <c r="P94" s="11">
        <f t="shared" si="34"/>
        <v>105</v>
      </c>
      <c r="Q94" s="13">
        <f t="shared" si="35"/>
        <v>36</v>
      </c>
      <c r="R94" s="35" t="s">
        <v>360</v>
      </c>
      <c r="S94" s="34">
        <f t="shared" si="36"/>
        <v>18</v>
      </c>
      <c r="T94" s="33" t="s">
        <v>296</v>
      </c>
      <c r="U94" s="9">
        <f t="shared" si="37"/>
        <v>3</v>
      </c>
      <c r="V94" s="10">
        <f t="shared" si="38"/>
        <v>114</v>
      </c>
      <c r="W94" s="11">
        <f t="shared" si="39"/>
        <v>63</v>
      </c>
      <c r="X94" s="13">
        <f t="shared" si="40"/>
        <v>9</v>
      </c>
      <c r="Y94" s="12" t="s">
        <v>345</v>
      </c>
      <c r="Z94" s="30">
        <f t="shared" si="41"/>
        <v>168</v>
      </c>
      <c r="AA94" s="13" t="s">
        <v>239</v>
      </c>
      <c r="AB94">
        <v>1</v>
      </c>
    </row>
    <row r="95" spans="1:28" ht="28.8" x14ac:dyDescent="0.3">
      <c r="A95" s="19" t="s">
        <v>104</v>
      </c>
      <c r="B95" s="20">
        <v>5</v>
      </c>
      <c r="C95" s="20"/>
      <c r="D95" s="22" t="s">
        <v>197</v>
      </c>
      <c r="E95" s="9">
        <v>6</v>
      </c>
      <c r="F95" s="10">
        <v>1</v>
      </c>
      <c r="G95" s="11">
        <v>1</v>
      </c>
      <c r="H95" s="12">
        <v>8</v>
      </c>
      <c r="I95" s="10">
        <f t="shared" si="29"/>
        <v>0</v>
      </c>
      <c r="J95" s="11">
        <f t="shared" si="30"/>
        <v>0</v>
      </c>
      <c r="K95" s="11">
        <f t="shared" si="31"/>
        <v>0</v>
      </c>
      <c r="L95" s="13">
        <f t="shared" si="32"/>
        <v>0</v>
      </c>
      <c r="M95" s="14">
        <f t="shared" si="28"/>
        <v>0</v>
      </c>
      <c r="N95" s="6" t="s">
        <v>278</v>
      </c>
      <c r="O95" s="10">
        <f t="shared" si="33"/>
        <v>83</v>
      </c>
      <c r="P95" s="11">
        <f t="shared" si="34"/>
        <v>53</v>
      </c>
      <c r="Q95" s="13">
        <f t="shared" si="35"/>
        <v>12</v>
      </c>
      <c r="R95" s="35" t="s">
        <v>352</v>
      </c>
      <c r="S95" s="34">
        <f t="shared" si="36"/>
        <v>16</v>
      </c>
      <c r="T95" s="33" t="s">
        <v>310</v>
      </c>
      <c r="U95" s="9">
        <f t="shared" si="37"/>
        <v>3</v>
      </c>
      <c r="V95" s="10">
        <f t="shared" si="38"/>
        <v>104</v>
      </c>
      <c r="W95" s="11">
        <f t="shared" si="39"/>
        <v>42</v>
      </c>
      <c r="X95" s="13">
        <f t="shared" si="40"/>
        <v>6</v>
      </c>
      <c r="Y95" s="12" t="s">
        <v>329</v>
      </c>
      <c r="Z95" s="30">
        <f t="shared" si="41"/>
        <v>0</v>
      </c>
      <c r="AA95" s="13" t="s">
        <v>222</v>
      </c>
      <c r="AB95">
        <v>1</v>
      </c>
    </row>
    <row r="96" spans="1:28" x14ac:dyDescent="0.3">
      <c r="A96" s="19" t="s">
        <v>182</v>
      </c>
      <c r="B96" s="20">
        <v>5</v>
      </c>
      <c r="C96" s="20"/>
      <c r="D96" s="8" t="s">
        <v>194</v>
      </c>
      <c r="E96" s="9">
        <v>0</v>
      </c>
      <c r="F96" s="10">
        <v>0</v>
      </c>
      <c r="G96" s="11">
        <v>0</v>
      </c>
      <c r="H96" s="12">
        <v>0</v>
      </c>
      <c r="I96" s="10">
        <f t="shared" si="29"/>
        <v>6</v>
      </c>
      <c r="J96" s="11">
        <f t="shared" si="30"/>
        <v>9</v>
      </c>
      <c r="K96" s="11">
        <f t="shared" si="31"/>
        <v>9</v>
      </c>
      <c r="L96" s="13">
        <f t="shared" si="32"/>
        <v>1</v>
      </c>
      <c r="M96" s="14">
        <f t="shared" si="28"/>
        <v>46</v>
      </c>
      <c r="N96" s="6"/>
      <c r="O96" s="10">
        <f t="shared" si="33"/>
        <v>129</v>
      </c>
      <c r="P96" s="11">
        <f t="shared" si="34"/>
        <v>105</v>
      </c>
      <c r="Q96" s="13">
        <f t="shared" si="35"/>
        <v>36</v>
      </c>
      <c r="R96" s="35"/>
      <c r="S96" s="34">
        <f t="shared" si="36"/>
        <v>18</v>
      </c>
      <c r="T96" s="33"/>
      <c r="U96" s="9">
        <f t="shared" si="37"/>
        <v>3</v>
      </c>
      <c r="V96" s="10">
        <f t="shared" si="38"/>
        <v>114</v>
      </c>
      <c r="W96" s="11">
        <f t="shared" si="39"/>
        <v>63</v>
      </c>
      <c r="X96" s="13">
        <f t="shared" si="40"/>
        <v>9</v>
      </c>
      <c r="Y96" s="12"/>
      <c r="Z96" s="30">
        <f t="shared" si="41"/>
        <v>168</v>
      </c>
      <c r="AA96" s="13"/>
      <c r="AB96">
        <v>0</v>
      </c>
    </row>
    <row r="97" spans="1:44" x14ac:dyDescent="0.3">
      <c r="A97" s="19" t="s">
        <v>170</v>
      </c>
      <c r="B97" s="20">
        <v>5</v>
      </c>
      <c r="C97" s="20"/>
      <c r="D97" s="21" t="s">
        <v>191</v>
      </c>
      <c r="E97" s="9">
        <v>6</v>
      </c>
      <c r="F97" s="10">
        <v>1</v>
      </c>
      <c r="G97" s="11">
        <v>6</v>
      </c>
      <c r="H97" s="12">
        <v>8</v>
      </c>
      <c r="I97" s="10">
        <f t="shared" si="29"/>
        <v>0</v>
      </c>
      <c r="J97" s="11">
        <f t="shared" si="30"/>
        <v>0</v>
      </c>
      <c r="K97" s="11">
        <f t="shared" si="31"/>
        <v>0</v>
      </c>
      <c r="L97" s="13">
        <f t="shared" si="32"/>
        <v>0</v>
      </c>
      <c r="M97" s="14">
        <f t="shared" si="28"/>
        <v>0</v>
      </c>
      <c r="N97" s="6" t="s">
        <v>252</v>
      </c>
      <c r="O97" s="10">
        <f t="shared" si="33"/>
        <v>83</v>
      </c>
      <c r="P97" s="11">
        <f t="shared" si="34"/>
        <v>22</v>
      </c>
      <c r="Q97" s="13">
        <f t="shared" si="35"/>
        <v>6</v>
      </c>
      <c r="R97" s="35" t="s">
        <v>326</v>
      </c>
      <c r="S97" s="34">
        <f t="shared" si="36"/>
        <v>16</v>
      </c>
      <c r="T97" s="33" t="s">
        <v>306</v>
      </c>
      <c r="U97" s="9">
        <f t="shared" si="37"/>
        <v>3</v>
      </c>
      <c r="V97" s="10">
        <f t="shared" si="38"/>
        <v>104</v>
      </c>
      <c r="W97" s="11">
        <f t="shared" si="39"/>
        <v>21</v>
      </c>
      <c r="X97" s="13">
        <f t="shared" si="40"/>
        <v>3</v>
      </c>
      <c r="Y97" s="12" t="s">
        <v>326</v>
      </c>
      <c r="Z97" s="30">
        <f t="shared" si="41"/>
        <v>0</v>
      </c>
      <c r="AA97" s="13" t="s">
        <v>204</v>
      </c>
      <c r="AB97" t="s">
        <v>373</v>
      </c>
    </row>
    <row r="98" spans="1:44" x14ac:dyDescent="0.3">
      <c r="A98" s="19" t="s">
        <v>170</v>
      </c>
      <c r="B98" s="20">
        <v>5</v>
      </c>
      <c r="C98" s="20"/>
      <c r="D98" s="17" t="s">
        <v>192</v>
      </c>
      <c r="E98" s="9">
        <v>6</v>
      </c>
      <c r="F98" s="10">
        <v>0</v>
      </c>
      <c r="G98" s="11">
        <v>0</v>
      </c>
      <c r="H98" s="12">
        <v>0</v>
      </c>
      <c r="I98" s="10">
        <f t="shared" si="29"/>
        <v>0</v>
      </c>
      <c r="J98" s="11">
        <f t="shared" si="30"/>
        <v>0</v>
      </c>
      <c r="K98" s="11">
        <f t="shared" si="31"/>
        <v>0</v>
      </c>
      <c r="L98" s="13">
        <f t="shared" si="32"/>
        <v>0</v>
      </c>
      <c r="M98" s="14">
        <f t="shared" si="28"/>
        <v>0</v>
      </c>
      <c r="N98" s="6" t="s">
        <v>252</v>
      </c>
      <c r="O98" s="10">
        <f t="shared" si="33"/>
        <v>93</v>
      </c>
      <c r="P98" s="11">
        <f t="shared" si="34"/>
        <v>75</v>
      </c>
      <c r="Q98" s="13">
        <f t="shared" si="35"/>
        <v>18</v>
      </c>
      <c r="R98" s="35" t="s">
        <v>326</v>
      </c>
      <c r="S98" s="34">
        <f t="shared" si="36"/>
        <v>18</v>
      </c>
      <c r="T98" s="33" t="s">
        <v>316</v>
      </c>
      <c r="U98" s="9">
        <f t="shared" si="37"/>
        <v>3</v>
      </c>
      <c r="V98" s="10">
        <f t="shared" si="38"/>
        <v>114</v>
      </c>
      <c r="W98" s="11">
        <f t="shared" si="39"/>
        <v>63</v>
      </c>
      <c r="X98" s="13">
        <f t="shared" si="40"/>
        <v>9</v>
      </c>
      <c r="Y98" s="12" t="s">
        <v>326</v>
      </c>
      <c r="Z98" s="30">
        <f t="shared" si="41"/>
        <v>0</v>
      </c>
      <c r="AA98" s="13" t="s">
        <v>204</v>
      </c>
      <c r="AB98" t="s">
        <v>373</v>
      </c>
    </row>
    <row r="99" spans="1:44" x14ac:dyDescent="0.3">
      <c r="A99" s="19" t="s">
        <v>170</v>
      </c>
      <c r="B99" s="20">
        <v>5</v>
      </c>
      <c r="C99" s="20"/>
      <c r="D99" s="22" t="s">
        <v>197</v>
      </c>
      <c r="E99" s="9">
        <v>6</v>
      </c>
      <c r="F99" s="10">
        <v>0</v>
      </c>
      <c r="G99" s="11">
        <v>0</v>
      </c>
      <c r="H99" s="12">
        <v>0</v>
      </c>
      <c r="I99" s="10">
        <f t="shared" si="29"/>
        <v>0</v>
      </c>
      <c r="J99" s="11">
        <f t="shared" si="30"/>
        <v>0</v>
      </c>
      <c r="K99" s="11">
        <f t="shared" si="31"/>
        <v>0</v>
      </c>
      <c r="L99" s="13">
        <f t="shared" si="32"/>
        <v>0</v>
      </c>
      <c r="M99" s="14">
        <f t="shared" si="28"/>
        <v>0</v>
      </c>
      <c r="N99" s="6" t="s">
        <v>252</v>
      </c>
      <c r="O99" s="10">
        <f t="shared" si="33"/>
        <v>93</v>
      </c>
      <c r="P99" s="11">
        <f t="shared" si="34"/>
        <v>75</v>
      </c>
      <c r="Q99" s="13">
        <f t="shared" si="35"/>
        <v>18</v>
      </c>
      <c r="R99" s="35" t="s">
        <v>326</v>
      </c>
      <c r="S99" s="34">
        <f t="shared" si="36"/>
        <v>18</v>
      </c>
      <c r="T99" s="33" t="s">
        <v>316</v>
      </c>
      <c r="U99" s="9">
        <f t="shared" si="37"/>
        <v>3</v>
      </c>
      <c r="V99" s="10">
        <f t="shared" si="38"/>
        <v>114</v>
      </c>
      <c r="W99" s="11">
        <f t="shared" si="39"/>
        <v>63</v>
      </c>
      <c r="X99" s="13">
        <f t="shared" si="40"/>
        <v>9</v>
      </c>
      <c r="Y99" s="12" t="s">
        <v>326</v>
      </c>
      <c r="Z99" s="30">
        <f t="shared" si="41"/>
        <v>0</v>
      </c>
      <c r="AA99" s="13" t="s">
        <v>204</v>
      </c>
      <c r="AB99" t="s">
        <v>373</v>
      </c>
    </row>
    <row r="100" spans="1:44" x14ac:dyDescent="0.3">
      <c r="A100" s="17" t="s">
        <v>170</v>
      </c>
      <c r="B100" s="20">
        <v>5</v>
      </c>
      <c r="C100" s="20"/>
      <c r="D100" s="16" t="s">
        <v>196</v>
      </c>
      <c r="E100" s="9">
        <v>6</v>
      </c>
      <c r="F100" s="10">
        <v>0</v>
      </c>
      <c r="G100" s="11">
        <v>0</v>
      </c>
      <c r="H100" s="13">
        <v>0</v>
      </c>
      <c r="I100" s="10">
        <f t="shared" si="29"/>
        <v>0</v>
      </c>
      <c r="J100" s="11">
        <f t="shared" si="30"/>
        <v>0</v>
      </c>
      <c r="K100" s="11">
        <f t="shared" si="31"/>
        <v>0</v>
      </c>
      <c r="L100" s="13">
        <f t="shared" si="32"/>
        <v>0</v>
      </c>
      <c r="M100" s="14">
        <f t="shared" si="28"/>
        <v>0</v>
      </c>
      <c r="N100" s="6" t="s">
        <v>252</v>
      </c>
      <c r="O100" s="10">
        <f t="shared" si="33"/>
        <v>93</v>
      </c>
      <c r="P100" s="11">
        <f t="shared" si="34"/>
        <v>75</v>
      </c>
      <c r="Q100" s="13">
        <f t="shared" si="35"/>
        <v>18</v>
      </c>
      <c r="R100" s="35" t="s">
        <v>326</v>
      </c>
      <c r="S100" s="34">
        <f t="shared" si="36"/>
        <v>18</v>
      </c>
      <c r="T100" s="33" t="s">
        <v>311</v>
      </c>
      <c r="U100" s="9">
        <f t="shared" si="37"/>
        <v>3</v>
      </c>
      <c r="V100" s="10">
        <f t="shared" si="38"/>
        <v>114</v>
      </c>
      <c r="W100" s="11">
        <f t="shared" si="39"/>
        <v>63</v>
      </c>
      <c r="X100" s="13">
        <f t="shared" si="40"/>
        <v>9</v>
      </c>
      <c r="Y100" s="12" t="s">
        <v>326</v>
      </c>
      <c r="Z100" s="30">
        <f t="shared" si="41"/>
        <v>0</v>
      </c>
      <c r="AA100" s="13" t="s">
        <v>204</v>
      </c>
      <c r="AB100" t="s">
        <v>373</v>
      </c>
    </row>
    <row r="101" spans="1:44" ht="28.8" x14ac:dyDescent="0.3">
      <c r="A101" s="73" t="s">
        <v>170</v>
      </c>
      <c r="B101" s="20">
        <v>5</v>
      </c>
      <c r="C101" s="20"/>
      <c r="D101" s="23" t="s">
        <v>195</v>
      </c>
      <c r="E101" s="9">
        <v>6</v>
      </c>
      <c r="F101" s="10">
        <v>0</v>
      </c>
      <c r="G101" s="11">
        <v>0</v>
      </c>
      <c r="H101" s="12">
        <v>0</v>
      </c>
      <c r="I101" s="10">
        <f t="shared" si="29"/>
        <v>0</v>
      </c>
      <c r="J101" s="11">
        <f t="shared" si="30"/>
        <v>0</v>
      </c>
      <c r="K101" s="11">
        <f t="shared" si="31"/>
        <v>0</v>
      </c>
      <c r="L101" s="13">
        <f t="shared" si="32"/>
        <v>0</v>
      </c>
      <c r="M101" s="14">
        <f t="shared" si="28"/>
        <v>0</v>
      </c>
      <c r="N101" s="6" t="s">
        <v>252</v>
      </c>
      <c r="O101" s="10">
        <f t="shared" si="33"/>
        <v>93</v>
      </c>
      <c r="P101" s="11">
        <f t="shared" si="34"/>
        <v>75</v>
      </c>
      <c r="Q101" s="13">
        <f t="shared" si="35"/>
        <v>18</v>
      </c>
      <c r="R101" s="35" t="s">
        <v>326</v>
      </c>
      <c r="S101" s="34">
        <f t="shared" si="36"/>
        <v>18</v>
      </c>
      <c r="T101" s="33" t="s">
        <v>300</v>
      </c>
      <c r="U101" s="9">
        <f t="shared" si="37"/>
        <v>3</v>
      </c>
      <c r="V101" s="10">
        <f t="shared" si="38"/>
        <v>114</v>
      </c>
      <c r="W101" s="11">
        <f t="shared" si="39"/>
        <v>63</v>
      </c>
      <c r="X101" s="13">
        <f t="shared" si="40"/>
        <v>9</v>
      </c>
      <c r="Y101" s="12" t="s">
        <v>326</v>
      </c>
      <c r="Z101" s="30">
        <f t="shared" si="41"/>
        <v>0</v>
      </c>
      <c r="AA101" s="13" t="s">
        <v>204</v>
      </c>
      <c r="AB101" t="s">
        <v>373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1:44" x14ac:dyDescent="0.3">
      <c r="AB102" t="s">
        <v>373</v>
      </c>
      <c r="AC102" s="3"/>
    </row>
    <row r="103" spans="1:44" x14ac:dyDescent="0.3">
      <c r="AB103" t="s">
        <v>373</v>
      </c>
      <c r="AC103" s="3"/>
    </row>
    <row r="104" spans="1:44" x14ac:dyDescent="0.3">
      <c r="AB104" t="s">
        <v>373</v>
      </c>
      <c r="AC104" s="3"/>
    </row>
    <row r="105" spans="1:44" x14ac:dyDescent="0.3">
      <c r="AB105" t="s">
        <v>373</v>
      </c>
      <c r="AC105" s="3"/>
    </row>
  </sheetData>
  <autoFilter ref="A1:AB105" xr:uid="{A5DFC2B7-3706-4F6C-8052-A3EE43AC81FB}">
    <sortState xmlns:xlrd2="http://schemas.microsoft.com/office/spreadsheetml/2017/richdata2" ref="A2:AB105">
      <sortCondition ref="C1:C105"/>
    </sortState>
  </autoFilter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264F-1886-41A1-957B-75AD49A4D6E7}">
  <dimension ref="A1:N103"/>
  <sheetViews>
    <sheetView workbookViewId="0">
      <pane xSplit="1" topLeftCell="B1" activePane="topRight" state="frozen"/>
      <selection pane="topRight" activeCell="G13" sqref="G13"/>
    </sheetView>
  </sheetViews>
  <sheetFormatPr defaultRowHeight="14.4" x14ac:dyDescent="0.3"/>
  <cols>
    <col min="1" max="1" width="20.33203125" style="27" customWidth="1"/>
    <col min="2" max="2" width="5" bestFit="1" customWidth="1"/>
    <col min="3" max="3" width="6.5546875" bestFit="1" customWidth="1"/>
    <col min="5" max="5" width="10.44140625" bestFit="1" customWidth="1"/>
    <col min="6" max="6" width="4.5546875" bestFit="1" customWidth="1"/>
    <col min="7" max="7" width="11.109375" bestFit="1" customWidth="1"/>
    <col min="8" max="8" width="6.5546875" bestFit="1" customWidth="1"/>
    <col min="10" max="10" width="10.44140625" bestFit="1" customWidth="1"/>
    <col min="11" max="11" width="4.5546875" bestFit="1" customWidth="1"/>
    <col min="12" max="12" width="11.109375" bestFit="1" customWidth="1"/>
    <col min="13" max="13" width="6.5546875" bestFit="1" customWidth="1"/>
  </cols>
  <sheetData>
    <row r="1" spans="1:14" x14ac:dyDescent="0.3">
      <c r="A1" s="35" t="s">
        <v>183</v>
      </c>
      <c r="B1" s="31" t="s">
        <v>245</v>
      </c>
      <c r="C1" s="11" t="s">
        <v>246</v>
      </c>
      <c r="D1" s="11" t="s">
        <v>247</v>
      </c>
      <c r="E1" s="13" t="s">
        <v>365</v>
      </c>
      <c r="F1" s="31" t="s">
        <v>245</v>
      </c>
      <c r="G1" s="11" t="s">
        <v>366</v>
      </c>
      <c r="H1" s="11" t="s">
        <v>246</v>
      </c>
      <c r="I1" s="11" t="s">
        <v>247</v>
      </c>
      <c r="J1" s="13" t="s">
        <v>365</v>
      </c>
      <c r="K1" s="31" t="s">
        <v>245</v>
      </c>
      <c r="L1" s="11" t="s">
        <v>366</v>
      </c>
      <c r="M1" s="11" t="s">
        <v>246</v>
      </c>
      <c r="N1" s="11" t="s">
        <v>247</v>
      </c>
    </row>
    <row r="2" spans="1:14" x14ac:dyDescent="0.3">
      <c r="A2" s="35" t="s">
        <v>355</v>
      </c>
      <c r="B2" s="31">
        <v>124</v>
      </c>
      <c r="C2" s="11">
        <f>SUMIF('геншин персы'!R:R,A2,'геншин персы'!Q:Q)</f>
        <v>48</v>
      </c>
      <c r="D2" s="11">
        <f t="shared" ref="D2:D16" si="0">IF(C2-B2&lt;0,0,C2-B2)</f>
        <v>0</v>
      </c>
      <c r="E2" s="13">
        <f t="shared" ref="E2:E16" si="1">IF(D2=0,B2-C2,0)</f>
        <v>76</v>
      </c>
      <c r="F2" s="31">
        <v>24</v>
      </c>
      <c r="G2" s="11">
        <f t="shared" ref="G2:G16" si="2">F2+ROUNDDOWN(E2/3,0)</f>
        <v>49</v>
      </c>
      <c r="H2" s="11">
        <f>SUMIF('геншин персы'!R:R,A2,'геншин персы'!P:P)</f>
        <v>193</v>
      </c>
      <c r="I2" s="11">
        <f t="shared" ref="I2:I16" si="3">IF(H2-G2&lt;0,0,H2-G2)</f>
        <v>144</v>
      </c>
      <c r="J2" s="13">
        <f t="shared" ref="J2:J16" si="4">IF(I2=0,F2-H2,0)</f>
        <v>0</v>
      </c>
      <c r="K2" s="31">
        <v>13</v>
      </c>
      <c r="L2" s="11">
        <f t="shared" ref="L2:L16" si="5">K2+ROUNDDOWN(J2/3,0)</f>
        <v>13</v>
      </c>
      <c r="M2" s="11">
        <f>SUMIF('геншин персы'!R:R,A2,'геншин персы'!O:O)</f>
        <v>408</v>
      </c>
      <c r="N2" s="11">
        <f t="shared" ref="N2:N16" si="6">IF(M2-L2&lt;0,0,M2-L2)</f>
        <v>395</v>
      </c>
    </row>
    <row r="3" spans="1:14" ht="28.8" x14ac:dyDescent="0.3">
      <c r="A3" s="35" t="s">
        <v>359</v>
      </c>
      <c r="B3" s="31">
        <v>177</v>
      </c>
      <c r="C3" s="11">
        <f>SUMIF('геншин персы'!R:R,A3,'геншин персы'!Q:Q)</f>
        <v>126</v>
      </c>
      <c r="D3" s="11">
        <f t="shared" si="0"/>
        <v>0</v>
      </c>
      <c r="E3" s="13">
        <f t="shared" si="1"/>
        <v>51</v>
      </c>
      <c r="F3" s="31">
        <v>58</v>
      </c>
      <c r="G3" s="11">
        <f t="shared" si="2"/>
        <v>75</v>
      </c>
      <c r="H3" s="11">
        <f>SUMIF('геншин персы'!R:R,A3,'геншин персы'!P:P)</f>
        <v>420</v>
      </c>
      <c r="I3" s="11">
        <f t="shared" si="3"/>
        <v>345</v>
      </c>
      <c r="J3" s="13">
        <f t="shared" si="4"/>
        <v>0</v>
      </c>
      <c r="K3" s="31">
        <v>81</v>
      </c>
      <c r="L3" s="11">
        <f t="shared" si="5"/>
        <v>81</v>
      </c>
      <c r="M3" s="11">
        <f>SUMIF('геншин персы'!R:R,A3,'геншин персы'!O:O)</f>
        <v>578</v>
      </c>
      <c r="N3" s="11">
        <f t="shared" si="6"/>
        <v>497</v>
      </c>
    </row>
    <row r="4" spans="1:14" x14ac:dyDescent="0.3">
      <c r="A4" s="35" t="s">
        <v>362</v>
      </c>
      <c r="B4" s="31">
        <v>36</v>
      </c>
      <c r="C4" s="11">
        <f>SUMIF('геншин персы'!R:R,A4,'геншин персы'!Q:Q)</f>
        <v>102</v>
      </c>
      <c r="D4" s="11">
        <f t="shared" si="0"/>
        <v>66</v>
      </c>
      <c r="E4" s="13">
        <f t="shared" si="1"/>
        <v>0</v>
      </c>
      <c r="F4" s="31">
        <v>8</v>
      </c>
      <c r="G4" s="11">
        <f t="shared" si="2"/>
        <v>8</v>
      </c>
      <c r="H4" s="11">
        <f>SUMIF('геншин персы'!R:R,A4,'геншин персы'!P:P)</f>
        <v>315</v>
      </c>
      <c r="I4" s="11">
        <f t="shared" si="3"/>
        <v>307</v>
      </c>
      <c r="J4" s="13">
        <f t="shared" si="4"/>
        <v>0</v>
      </c>
      <c r="K4" s="31">
        <v>2</v>
      </c>
      <c r="L4" s="11">
        <f t="shared" si="5"/>
        <v>2</v>
      </c>
      <c r="M4" s="11">
        <f>SUMIF('геншин персы'!R:R,A4,'геншин персы'!O:O)</f>
        <v>387</v>
      </c>
      <c r="N4" s="11">
        <f t="shared" si="6"/>
        <v>385</v>
      </c>
    </row>
    <row r="5" spans="1:14" x14ac:dyDescent="0.3">
      <c r="A5" s="35" t="s">
        <v>358</v>
      </c>
      <c r="B5" s="31">
        <v>221</v>
      </c>
      <c r="C5" s="11">
        <f>SUMIF('геншин персы'!R:R,A5,'геншин персы'!Q:Q)</f>
        <v>117</v>
      </c>
      <c r="D5" s="11">
        <f t="shared" si="0"/>
        <v>0</v>
      </c>
      <c r="E5" s="13">
        <f t="shared" si="1"/>
        <v>104</v>
      </c>
      <c r="F5" s="31">
        <v>58</v>
      </c>
      <c r="G5" s="11">
        <f t="shared" si="2"/>
        <v>92</v>
      </c>
      <c r="H5" s="11">
        <f>SUMIF('геншин персы'!R:R,A5,'геншин персы'!P:P)</f>
        <v>476</v>
      </c>
      <c r="I5" s="11">
        <f t="shared" si="3"/>
        <v>384</v>
      </c>
      <c r="J5" s="13">
        <f t="shared" si="4"/>
        <v>0</v>
      </c>
      <c r="K5" s="31">
        <v>7</v>
      </c>
      <c r="L5" s="11">
        <f t="shared" si="5"/>
        <v>7</v>
      </c>
      <c r="M5" s="11">
        <f>SUMIF('геншин персы'!R:R,A5,'геншин персы'!O:O)</f>
        <v>672</v>
      </c>
      <c r="N5" s="11">
        <f t="shared" si="6"/>
        <v>665</v>
      </c>
    </row>
    <row r="6" spans="1:14" x14ac:dyDescent="0.3">
      <c r="A6" s="35" t="s">
        <v>354</v>
      </c>
      <c r="B6" s="31">
        <v>108</v>
      </c>
      <c r="C6" s="11">
        <f>SUMIF('геншин персы'!R:R,A6,'геншин персы'!Q:Q)</f>
        <v>144</v>
      </c>
      <c r="D6" s="11">
        <f t="shared" si="0"/>
        <v>36</v>
      </c>
      <c r="E6" s="13">
        <f t="shared" si="1"/>
        <v>0</v>
      </c>
      <c r="F6" s="31">
        <v>28</v>
      </c>
      <c r="G6" s="11">
        <f t="shared" si="2"/>
        <v>28</v>
      </c>
      <c r="H6" s="11">
        <f>SUMIF('геншин персы'!R:R,A6,'геншин персы'!P:P)</f>
        <v>695</v>
      </c>
      <c r="I6" s="11">
        <f t="shared" si="3"/>
        <v>667</v>
      </c>
      <c r="J6" s="13">
        <f t="shared" si="4"/>
        <v>0</v>
      </c>
      <c r="K6" s="31">
        <v>9</v>
      </c>
      <c r="L6" s="11">
        <f t="shared" si="5"/>
        <v>9</v>
      </c>
      <c r="M6" s="11">
        <f>SUMIF('геншин персы'!R:R,A6,'геншин персы'!O:O)</f>
        <v>931</v>
      </c>
      <c r="N6" s="11">
        <f t="shared" si="6"/>
        <v>922</v>
      </c>
    </row>
    <row r="7" spans="1:14" ht="28.8" x14ac:dyDescent="0.3">
      <c r="A7" s="35" t="s">
        <v>352</v>
      </c>
      <c r="B7" s="31">
        <v>121</v>
      </c>
      <c r="C7" s="11">
        <f>SUMIF('геншин персы'!R:R,A7,'геншин персы'!Q:Q)</f>
        <v>48</v>
      </c>
      <c r="D7" s="11">
        <f t="shared" si="0"/>
        <v>0</v>
      </c>
      <c r="E7" s="13">
        <f t="shared" si="1"/>
        <v>73</v>
      </c>
      <c r="F7" s="31">
        <v>11</v>
      </c>
      <c r="G7" s="11">
        <f t="shared" si="2"/>
        <v>35</v>
      </c>
      <c r="H7" s="11">
        <f>SUMIF('геншин персы'!R:R,A7,'геншин персы'!P:P)</f>
        <v>443</v>
      </c>
      <c r="I7" s="11">
        <f t="shared" si="3"/>
        <v>408</v>
      </c>
      <c r="J7" s="13">
        <f t="shared" si="4"/>
        <v>0</v>
      </c>
      <c r="K7" s="31">
        <v>30</v>
      </c>
      <c r="L7" s="11">
        <f t="shared" si="5"/>
        <v>30</v>
      </c>
      <c r="M7" s="11">
        <f>SUMIF('геншин персы'!R:R,A7,'геншин персы'!O:O)</f>
        <v>741</v>
      </c>
      <c r="N7" s="11">
        <f t="shared" si="6"/>
        <v>711</v>
      </c>
    </row>
    <row r="8" spans="1:14" x14ac:dyDescent="0.3">
      <c r="A8" s="35" t="s">
        <v>356</v>
      </c>
      <c r="B8" s="31">
        <v>8</v>
      </c>
      <c r="C8" s="11">
        <f>SUMIF('геншин персы'!R:R,A8,'геншин персы'!Q:Q)</f>
        <v>153</v>
      </c>
      <c r="D8" s="11">
        <f t="shared" si="0"/>
        <v>145</v>
      </c>
      <c r="E8" s="13">
        <f t="shared" si="1"/>
        <v>0</v>
      </c>
      <c r="F8" s="31">
        <v>9</v>
      </c>
      <c r="G8" s="11">
        <f t="shared" si="2"/>
        <v>9</v>
      </c>
      <c r="H8" s="11">
        <f>SUMIF('геншин персы'!R:R,A8,'геншин персы'!P:P)</f>
        <v>594</v>
      </c>
      <c r="I8" s="11">
        <f t="shared" si="3"/>
        <v>585</v>
      </c>
      <c r="J8" s="13">
        <f t="shared" si="4"/>
        <v>0</v>
      </c>
      <c r="K8" s="31">
        <v>2</v>
      </c>
      <c r="L8" s="11">
        <f t="shared" si="5"/>
        <v>2</v>
      </c>
      <c r="M8" s="11">
        <f>SUMIF('геншин персы'!R:R,A8,'геншин персы'!O:O)</f>
        <v>774</v>
      </c>
      <c r="N8" s="11">
        <f t="shared" si="6"/>
        <v>772</v>
      </c>
    </row>
    <row r="9" spans="1:14" ht="28.8" x14ac:dyDescent="0.3">
      <c r="A9" s="35" t="s">
        <v>350</v>
      </c>
      <c r="B9" s="31">
        <v>49</v>
      </c>
      <c r="C9" s="11">
        <f>SUMIF('геншин персы'!R:R,A9,'геншин персы'!Q:Q)</f>
        <v>60</v>
      </c>
      <c r="D9" s="11">
        <f t="shared" si="0"/>
        <v>11</v>
      </c>
      <c r="E9" s="13">
        <f t="shared" si="1"/>
        <v>0</v>
      </c>
      <c r="F9" s="31">
        <v>26</v>
      </c>
      <c r="G9" s="11">
        <f t="shared" si="2"/>
        <v>26</v>
      </c>
      <c r="H9" s="11">
        <f>SUMIF('геншин персы'!R:R,A9,'геншин персы'!P:P)</f>
        <v>369</v>
      </c>
      <c r="I9" s="11">
        <f t="shared" si="3"/>
        <v>343</v>
      </c>
      <c r="J9" s="13">
        <f t="shared" si="4"/>
        <v>0</v>
      </c>
      <c r="K9" s="31">
        <v>42</v>
      </c>
      <c r="L9" s="11">
        <f t="shared" si="5"/>
        <v>42</v>
      </c>
      <c r="M9" s="11">
        <f>SUMIF('геншин персы'!R:R,A9,'геншин персы'!O:O)</f>
        <v>516</v>
      </c>
      <c r="N9" s="11">
        <f t="shared" si="6"/>
        <v>474</v>
      </c>
    </row>
    <row r="10" spans="1:14" x14ac:dyDescent="0.3">
      <c r="A10" s="35" t="s">
        <v>349</v>
      </c>
      <c r="B10" s="31">
        <v>280</v>
      </c>
      <c r="C10" s="11">
        <f>SUMIF('геншин персы'!R:R,A10,'геншин персы'!Q:Q)</f>
        <v>99</v>
      </c>
      <c r="D10" s="11">
        <f t="shared" si="0"/>
        <v>0</v>
      </c>
      <c r="E10" s="13">
        <f t="shared" si="1"/>
        <v>181</v>
      </c>
      <c r="F10" s="31">
        <v>73</v>
      </c>
      <c r="G10" s="11">
        <f t="shared" si="2"/>
        <v>133</v>
      </c>
      <c r="H10" s="11">
        <f>SUMIF('геншин персы'!R:R,A10,'геншин персы'!P:P)</f>
        <v>554</v>
      </c>
      <c r="I10" s="11">
        <f t="shared" si="3"/>
        <v>421</v>
      </c>
      <c r="J10" s="13">
        <f t="shared" si="4"/>
        <v>0</v>
      </c>
      <c r="K10" s="31">
        <v>186</v>
      </c>
      <c r="L10" s="11">
        <f t="shared" si="5"/>
        <v>186</v>
      </c>
      <c r="M10" s="11">
        <f>SUMIF('геншин персы'!R:R,A10,'геншин персы'!O:O)</f>
        <v>1032</v>
      </c>
      <c r="N10" s="11">
        <f t="shared" si="6"/>
        <v>846</v>
      </c>
    </row>
    <row r="11" spans="1:14" x14ac:dyDescent="0.3">
      <c r="A11" s="35" t="s">
        <v>361</v>
      </c>
      <c r="B11" s="31">
        <v>2</v>
      </c>
      <c r="C11" s="11">
        <f>SUMIF('геншин персы'!R:R,A11,'геншин персы'!Q:Q)</f>
        <v>105</v>
      </c>
      <c r="D11" s="11">
        <f t="shared" si="0"/>
        <v>103</v>
      </c>
      <c r="E11" s="13">
        <f t="shared" si="1"/>
        <v>0</v>
      </c>
      <c r="F11" s="31">
        <v>0</v>
      </c>
      <c r="G11" s="11">
        <f t="shared" si="2"/>
        <v>0</v>
      </c>
      <c r="H11" s="11">
        <f>SUMIF('геншин персы'!R:R,A11,'геншин персы'!P:P)</f>
        <v>315</v>
      </c>
      <c r="I11" s="11">
        <f t="shared" si="3"/>
        <v>315</v>
      </c>
      <c r="J11" s="13">
        <f t="shared" si="4"/>
        <v>0</v>
      </c>
      <c r="K11" s="31">
        <v>43</v>
      </c>
      <c r="L11" s="11">
        <f t="shared" si="5"/>
        <v>43</v>
      </c>
      <c r="M11" s="11">
        <f>SUMIF('геншин персы'!R:R,A11,'геншин персы'!O:O)</f>
        <v>387</v>
      </c>
      <c r="N11" s="11">
        <f t="shared" si="6"/>
        <v>344</v>
      </c>
    </row>
    <row r="12" spans="1:14" ht="28.8" x14ac:dyDescent="0.3">
      <c r="A12" s="35" t="s">
        <v>351</v>
      </c>
      <c r="B12" s="31">
        <v>3</v>
      </c>
      <c r="C12" s="11">
        <f>SUMIF('геншин персы'!R:R,A12,'геншин персы'!Q:Q)</f>
        <v>132</v>
      </c>
      <c r="D12" s="11">
        <f t="shared" si="0"/>
        <v>129</v>
      </c>
      <c r="E12" s="13">
        <f t="shared" si="1"/>
        <v>0</v>
      </c>
      <c r="F12" s="31">
        <v>9</v>
      </c>
      <c r="G12" s="11">
        <f t="shared" si="2"/>
        <v>9</v>
      </c>
      <c r="H12" s="11">
        <f>SUMIF('геншин персы'!R:R,A12,'геншин персы'!P:P)</f>
        <v>546</v>
      </c>
      <c r="I12" s="11">
        <f t="shared" si="3"/>
        <v>537</v>
      </c>
      <c r="J12" s="13">
        <f t="shared" si="4"/>
        <v>0</v>
      </c>
      <c r="K12" s="31">
        <v>9</v>
      </c>
      <c r="L12" s="11">
        <f t="shared" si="5"/>
        <v>9</v>
      </c>
      <c r="M12" s="11">
        <f>SUMIF('геншин персы'!R:R,A12,'геншин персы'!O:O)</f>
        <v>933</v>
      </c>
      <c r="N12" s="11">
        <f t="shared" si="6"/>
        <v>924</v>
      </c>
    </row>
    <row r="13" spans="1:14" x14ac:dyDescent="0.3">
      <c r="A13" s="35" t="s">
        <v>348</v>
      </c>
      <c r="B13" s="31">
        <v>2</v>
      </c>
      <c r="C13" s="11">
        <f>SUMIF('геншин персы'!R:R,A13,'геншин персы'!Q:Q)</f>
        <v>123</v>
      </c>
      <c r="D13" s="11">
        <f t="shared" si="0"/>
        <v>121</v>
      </c>
      <c r="E13" s="13">
        <f t="shared" si="1"/>
        <v>0</v>
      </c>
      <c r="F13" s="31">
        <v>1</v>
      </c>
      <c r="G13" s="11">
        <f t="shared" si="2"/>
        <v>1</v>
      </c>
      <c r="H13" s="11">
        <f>SUMIF('геншин персы'!R:R,A13,'геншин персы'!P:P)</f>
        <v>554</v>
      </c>
      <c r="I13" s="11">
        <f t="shared" si="3"/>
        <v>553</v>
      </c>
      <c r="J13" s="13">
        <f t="shared" si="4"/>
        <v>0</v>
      </c>
      <c r="K13" s="31">
        <v>230</v>
      </c>
      <c r="L13" s="11">
        <f t="shared" si="5"/>
        <v>230</v>
      </c>
      <c r="M13" s="11">
        <f>SUMIF('геншин персы'!R:R,A13,'геншин персы'!O:O)</f>
        <v>896</v>
      </c>
      <c r="N13" s="11">
        <f t="shared" si="6"/>
        <v>666</v>
      </c>
    </row>
    <row r="14" spans="1:14" x14ac:dyDescent="0.3">
      <c r="A14" s="35" t="s">
        <v>357</v>
      </c>
      <c r="B14" s="31">
        <v>92</v>
      </c>
      <c r="C14" s="11">
        <f>SUMIF('геншин персы'!R:R,A14,'геншин персы'!Q:Q)</f>
        <v>144</v>
      </c>
      <c r="D14" s="11">
        <f t="shared" si="0"/>
        <v>52</v>
      </c>
      <c r="E14" s="13">
        <f t="shared" si="1"/>
        <v>0</v>
      </c>
      <c r="F14" s="31">
        <v>7</v>
      </c>
      <c r="G14" s="11">
        <f t="shared" si="2"/>
        <v>7</v>
      </c>
      <c r="H14" s="11">
        <f>SUMIF('геншин персы'!R:R,A14,'геншин персы'!P:P)</f>
        <v>506</v>
      </c>
      <c r="I14" s="11">
        <f t="shared" si="3"/>
        <v>499</v>
      </c>
      <c r="J14" s="13">
        <f t="shared" si="4"/>
        <v>0</v>
      </c>
      <c r="K14" s="31">
        <v>38</v>
      </c>
      <c r="L14" s="11">
        <f t="shared" si="5"/>
        <v>38</v>
      </c>
      <c r="M14" s="11">
        <f>SUMIF('геншин персы'!R:R,A14,'геншин персы'!O:O)</f>
        <v>645</v>
      </c>
      <c r="N14" s="11">
        <f t="shared" si="6"/>
        <v>607</v>
      </c>
    </row>
    <row r="15" spans="1:14" x14ac:dyDescent="0.3">
      <c r="A15" s="35" t="s">
        <v>353</v>
      </c>
      <c r="B15" s="31">
        <v>708</v>
      </c>
      <c r="C15" s="11">
        <f>SUMIF('геншин персы'!R:R,A15,'геншин персы'!Q:Q)</f>
        <v>129</v>
      </c>
      <c r="D15" s="11">
        <f t="shared" si="0"/>
        <v>0</v>
      </c>
      <c r="E15" s="13">
        <f t="shared" si="1"/>
        <v>579</v>
      </c>
      <c r="F15" s="31">
        <v>121</v>
      </c>
      <c r="G15" s="11">
        <f t="shared" si="2"/>
        <v>314</v>
      </c>
      <c r="H15" s="11">
        <f>SUMIF('геншин персы'!R:R,A15,'геншин персы'!P:P)</f>
        <v>595</v>
      </c>
      <c r="I15" s="11">
        <f t="shared" si="3"/>
        <v>281</v>
      </c>
      <c r="J15" s="13">
        <f t="shared" si="4"/>
        <v>0</v>
      </c>
      <c r="K15" s="31">
        <v>187</v>
      </c>
      <c r="L15" s="11">
        <f t="shared" si="5"/>
        <v>187</v>
      </c>
      <c r="M15" s="11">
        <f>SUMIF('геншин персы'!R:R,A15,'геншин персы'!O:O)</f>
        <v>956</v>
      </c>
      <c r="N15" s="11">
        <f t="shared" si="6"/>
        <v>769</v>
      </c>
    </row>
    <row r="16" spans="1:14" x14ac:dyDescent="0.3">
      <c r="A16" s="35" t="s">
        <v>360</v>
      </c>
      <c r="B16" s="31">
        <v>222</v>
      </c>
      <c r="C16" s="11">
        <f>SUMIF('геншин персы'!R:R,A16,'геншин персы'!Q:Q)</f>
        <v>147</v>
      </c>
      <c r="D16" s="11">
        <f t="shared" si="0"/>
        <v>0</v>
      </c>
      <c r="E16" s="13">
        <f t="shared" si="1"/>
        <v>75</v>
      </c>
      <c r="F16" s="31">
        <v>55</v>
      </c>
      <c r="G16" s="11">
        <f t="shared" si="2"/>
        <v>80</v>
      </c>
      <c r="H16" s="11">
        <f>SUMIF('геншин персы'!R:R,A16,'геншин персы'!P:P)</f>
        <v>442</v>
      </c>
      <c r="I16" s="11">
        <f t="shared" si="3"/>
        <v>362</v>
      </c>
      <c r="J16" s="13">
        <f t="shared" si="4"/>
        <v>0</v>
      </c>
      <c r="K16" s="31">
        <v>108</v>
      </c>
      <c r="L16" s="11">
        <f t="shared" si="5"/>
        <v>108</v>
      </c>
      <c r="M16" s="11">
        <f>SUMIF('геншин персы'!R:R,A16,'геншин персы'!O:O)</f>
        <v>589</v>
      </c>
      <c r="N16" s="11">
        <f t="shared" si="6"/>
        <v>481</v>
      </c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</sheetData>
  <autoFilter ref="A1:N16" xr:uid="{F5E3264F-1886-41A1-957B-75AD49A4D6E7}">
    <sortState xmlns:xlrd2="http://schemas.microsoft.com/office/spreadsheetml/2017/richdata2" ref="A2:N16">
      <sortCondition ref="A1:A16"/>
    </sortState>
  </autoFilter>
  <conditionalFormatting sqref="B2:N16">
    <cfRule type="cellIs" dxfId="3" priority="3" operator="equal">
      <formula>0</formula>
    </cfRule>
  </conditionalFormatting>
  <conditionalFormatting sqref="E2:E16">
    <cfRule type="cellIs" dxfId="2" priority="2" operator="equal">
      <formula>0</formula>
    </cfRule>
  </conditionalFormatting>
  <conditionalFormatting sqref="J2:J16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F5CD-5D7B-4489-AFFC-309E3AD22DC5}">
  <sheetPr filterMode="1"/>
  <dimension ref="A1:G50"/>
  <sheetViews>
    <sheetView topLeftCell="A35" workbookViewId="0">
      <selection activeCell="C53" sqref="C53"/>
    </sheetView>
  </sheetViews>
  <sheetFormatPr defaultRowHeight="14.4" x14ac:dyDescent="0.3"/>
  <cols>
    <col min="1" max="1" width="27" bestFit="1" customWidth="1"/>
    <col min="2" max="2" width="11.109375" bestFit="1" customWidth="1"/>
    <col min="3" max="3" width="9.33203125" customWidth="1"/>
  </cols>
  <sheetData>
    <row r="1" spans="1:7" x14ac:dyDescent="0.3">
      <c r="B1" t="s">
        <v>333</v>
      </c>
      <c r="C1" t="s">
        <v>245</v>
      </c>
      <c r="D1" t="s">
        <v>246</v>
      </c>
      <c r="E1" t="s">
        <v>247</v>
      </c>
      <c r="F1" t="s">
        <v>368</v>
      </c>
      <c r="G1" t="s">
        <v>370</v>
      </c>
    </row>
    <row r="2" spans="1:7" hidden="1" x14ac:dyDescent="0.3">
      <c r="A2" t="s">
        <v>216</v>
      </c>
      <c r="B2" t="s">
        <v>335</v>
      </c>
      <c r="C2">
        <v>317</v>
      </c>
      <c r="D2">
        <f>SUMIF('геншин персы'!AA:AA,A2,'геншин персы'!Z:Z)</f>
        <v>303</v>
      </c>
      <c r="E2">
        <f t="shared" ref="E2:E8" si="0">IF(D2-C2&lt;0,0,D2-C2)</f>
        <v>0</v>
      </c>
      <c r="F2">
        <v>44</v>
      </c>
      <c r="G2">
        <f t="shared" ref="G2:G8" si="1">ROUNDUP(E2/F2,0)</f>
        <v>0</v>
      </c>
    </row>
    <row r="3" spans="1:7" hidden="1" x14ac:dyDescent="0.3">
      <c r="A3" t="s">
        <v>220</v>
      </c>
      <c r="B3" t="s">
        <v>335</v>
      </c>
      <c r="C3">
        <v>274</v>
      </c>
      <c r="D3">
        <f>SUMIF('геншин персы'!AA:AA,A3,'геншин персы'!Z:Z)</f>
        <v>270</v>
      </c>
      <c r="E3">
        <f t="shared" si="0"/>
        <v>0</v>
      </c>
      <c r="F3">
        <v>66</v>
      </c>
      <c r="G3">
        <f t="shared" si="1"/>
        <v>0</v>
      </c>
    </row>
    <row r="4" spans="1:7" hidden="1" x14ac:dyDescent="0.3">
      <c r="A4" t="s">
        <v>222</v>
      </c>
      <c r="B4" t="s">
        <v>335</v>
      </c>
      <c r="C4">
        <v>129</v>
      </c>
      <c r="D4">
        <f>SUMIF('геншин персы'!AA:AA,A4,'геншин персы'!Z:Z)</f>
        <v>0</v>
      </c>
      <c r="E4">
        <f t="shared" si="0"/>
        <v>0</v>
      </c>
      <c r="F4">
        <v>159</v>
      </c>
      <c r="G4">
        <f t="shared" si="1"/>
        <v>0</v>
      </c>
    </row>
    <row r="5" spans="1:7" hidden="1" x14ac:dyDescent="0.3">
      <c r="A5" t="s">
        <v>215</v>
      </c>
      <c r="B5" t="s">
        <v>335</v>
      </c>
      <c r="C5">
        <v>183</v>
      </c>
      <c r="D5">
        <f>SUMIF('геншин персы'!AA:AA,A5,'геншин персы'!Z:Z)</f>
        <v>165</v>
      </c>
      <c r="E5">
        <f t="shared" si="0"/>
        <v>0</v>
      </c>
      <c r="F5">
        <f>95*2</f>
        <v>190</v>
      </c>
      <c r="G5">
        <f t="shared" si="1"/>
        <v>0</v>
      </c>
    </row>
    <row r="6" spans="1:7" hidden="1" x14ac:dyDescent="0.3">
      <c r="A6" t="s">
        <v>219</v>
      </c>
      <c r="B6" t="s">
        <v>335</v>
      </c>
      <c r="C6">
        <v>182</v>
      </c>
      <c r="D6">
        <f>SUMIF('геншин персы'!AA:AA,A6,'геншин персы'!Z:Z)</f>
        <v>168</v>
      </c>
      <c r="E6">
        <f t="shared" si="0"/>
        <v>0</v>
      </c>
      <c r="F6">
        <v>75</v>
      </c>
      <c r="G6">
        <f t="shared" si="1"/>
        <v>0</v>
      </c>
    </row>
    <row r="7" spans="1:7" hidden="1" x14ac:dyDescent="0.3">
      <c r="A7" t="s">
        <v>214</v>
      </c>
      <c r="B7" t="s">
        <v>335</v>
      </c>
      <c r="C7">
        <v>3</v>
      </c>
      <c r="D7">
        <f>SUMIF('геншин персы'!AA:AA,A7,'геншин персы'!Z:Z)</f>
        <v>0</v>
      </c>
      <c r="E7">
        <f t="shared" si="0"/>
        <v>0</v>
      </c>
      <c r="F7">
        <v>71</v>
      </c>
      <c r="G7">
        <f t="shared" si="1"/>
        <v>0</v>
      </c>
    </row>
    <row r="8" spans="1:7" hidden="1" x14ac:dyDescent="0.3">
      <c r="A8" t="s">
        <v>221</v>
      </c>
      <c r="B8" t="s">
        <v>335</v>
      </c>
      <c r="C8">
        <v>207</v>
      </c>
      <c r="D8">
        <f>SUMIF('геншин персы'!AA:AA,A8,'геншин персы'!Z:Z)</f>
        <v>195</v>
      </c>
      <c r="E8">
        <f t="shared" si="0"/>
        <v>0</v>
      </c>
      <c r="F8">
        <v>132</v>
      </c>
      <c r="G8">
        <f t="shared" si="1"/>
        <v>0</v>
      </c>
    </row>
    <row r="9" spans="1:7" x14ac:dyDescent="0.3">
      <c r="A9" t="s">
        <v>218</v>
      </c>
      <c r="B9" t="s">
        <v>335</v>
      </c>
      <c r="C9">
        <v>220</v>
      </c>
      <c r="D9">
        <f>SUMIF('геншин персы'!AA:AA,A9,'геншин персы'!Z:Z)</f>
        <v>336</v>
      </c>
      <c r="E9">
        <f t="shared" ref="E9:E48" si="2">IF(D9-C9&lt;0,0,D9-C9)</f>
        <v>116</v>
      </c>
      <c r="F9">
        <v>79</v>
      </c>
      <c r="G9">
        <f t="shared" ref="G9:G48" si="3">ROUNDUP(E9/F9,0)</f>
        <v>2</v>
      </c>
    </row>
    <row r="10" spans="1:7" hidden="1" x14ac:dyDescent="0.3">
      <c r="A10" t="s">
        <v>233</v>
      </c>
      <c r="B10" t="s">
        <v>334</v>
      </c>
      <c r="C10">
        <v>169</v>
      </c>
      <c r="D10">
        <f>SUMIF('геншин персы'!AA:AA,A10,'геншин персы'!Z:Z)</f>
        <v>168</v>
      </c>
      <c r="E10">
        <f t="shared" si="2"/>
        <v>0</v>
      </c>
      <c r="F10">
        <v>74</v>
      </c>
      <c r="G10">
        <f t="shared" si="3"/>
        <v>0</v>
      </c>
    </row>
    <row r="11" spans="1:7" hidden="1" x14ac:dyDescent="0.3">
      <c r="A11" t="s">
        <v>210</v>
      </c>
      <c r="B11" t="s">
        <v>336</v>
      </c>
      <c r="C11">
        <v>273</v>
      </c>
      <c r="D11">
        <f>SUMIF('геншин персы'!AA:AA,A11,'геншин персы'!Z:Z)</f>
        <v>270</v>
      </c>
      <c r="E11">
        <f t="shared" si="2"/>
        <v>0</v>
      </c>
      <c r="F11">
        <v>50</v>
      </c>
      <c r="G11">
        <f t="shared" si="3"/>
        <v>0</v>
      </c>
    </row>
    <row r="12" spans="1:7" hidden="1" x14ac:dyDescent="0.3">
      <c r="A12" t="s">
        <v>213</v>
      </c>
      <c r="B12" t="s">
        <v>336</v>
      </c>
      <c r="C12">
        <v>69</v>
      </c>
      <c r="D12">
        <f>SUMIF('геншин персы'!AA:AA,A12,'геншин персы'!Z:Z)</f>
        <v>60</v>
      </c>
      <c r="E12">
        <f t="shared" si="2"/>
        <v>0</v>
      </c>
      <c r="F12">
        <f>53*3</f>
        <v>159</v>
      </c>
      <c r="G12">
        <f t="shared" si="3"/>
        <v>0</v>
      </c>
    </row>
    <row r="13" spans="1:7" hidden="1" x14ac:dyDescent="0.3">
      <c r="A13" t="s">
        <v>211</v>
      </c>
      <c r="B13" t="s">
        <v>336</v>
      </c>
      <c r="C13">
        <v>250</v>
      </c>
      <c r="D13">
        <f>SUMIF('геншин персы'!AA:AA,A13,'геншин персы'!Z:Z)</f>
        <v>240</v>
      </c>
      <c r="E13">
        <f t="shared" si="2"/>
        <v>0</v>
      </c>
      <c r="F13">
        <v>169</v>
      </c>
      <c r="G13">
        <f t="shared" si="3"/>
        <v>0</v>
      </c>
    </row>
    <row r="14" spans="1:7" hidden="1" x14ac:dyDescent="0.3">
      <c r="A14" t="s">
        <v>209</v>
      </c>
      <c r="B14" t="s">
        <v>336</v>
      </c>
      <c r="C14">
        <v>173</v>
      </c>
      <c r="D14">
        <f>SUMIF('геншин персы'!AA:AA,A14,'геншин персы'!Z:Z)</f>
        <v>135</v>
      </c>
      <c r="E14">
        <f t="shared" si="2"/>
        <v>0</v>
      </c>
      <c r="F14">
        <v>55</v>
      </c>
      <c r="G14">
        <f t="shared" si="3"/>
        <v>0</v>
      </c>
    </row>
    <row r="15" spans="1:7" hidden="1" x14ac:dyDescent="0.3">
      <c r="A15" t="s">
        <v>207</v>
      </c>
      <c r="B15" t="s">
        <v>336</v>
      </c>
      <c r="C15">
        <v>647</v>
      </c>
      <c r="D15">
        <f>SUMIF('геншин персы'!AA:AA,A15,'геншин персы'!Z:Z)</f>
        <v>504</v>
      </c>
      <c r="E15">
        <f t="shared" si="2"/>
        <v>0</v>
      </c>
      <c r="F15">
        <v>175</v>
      </c>
      <c r="G15">
        <f t="shared" si="3"/>
        <v>0</v>
      </c>
    </row>
    <row r="16" spans="1:7" hidden="1" x14ac:dyDescent="0.3">
      <c r="A16" t="s">
        <v>206</v>
      </c>
      <c r="B16" t="s">
        <v>336</v>
      </c>
      <c r="C16">
        <v>541</v>
      </c>
      <c r="D16">
        <f>SUMIF('геншин персы'!AA:AA,A16,'геншин персы'!Z:Z)</f>
        <v>273</v>
      </c>
      <c r="E16">
        <f t="shared" si="2"/>
        <v>0</v>
      </c>
      <c r="F16">
        <f>17*2</f>
        <v>34</v>
      </c>
      <c r="G16">
        <f t="shared" si="3"/>
        <v>0</v>
      </c>
    </row>
    <row r="17" spans="1:7" x14ac:dyDescent="0.3">
      <c r="A17" t="s">
        <v>217</v>
      </c>
      <c r="B17" t="s">
        <v>335</v>
      </c>
      <c r="C17">
        <v>224</v>
      </c>
      <c r="D17">
        <f>SUMIF('геншин персы'!AA:AA,A17,'геншин персы'!Z:Z)</f>
        <v>303</v>
      </c>
      <c r="E17">
        <f t="shared" si="2"/>
        <v>79</v>
      </c>
      <c r="F17">
        <v>55</v>
      </c>
      <c r="G17">
        <f t="shared" si="3"/>
        <v>2</v>
      </c>
    </row>
    <row r="18" spans="1:7" x14ac:dyDescent="0.3">
      <c r="A18" t="s">
        <v>232</v>
      </c>
      <c r="B18" t="s">
        <v>336</v>
      </c>
      <c r="C18">
        <v>26</v>
      </c>
      <c r="D18">
        <f>SUMIF('геншин персы'!AA:AA,A18,'геншин персы'!Z:Z)</f>
        <v>333</v>
      </c>
      <c r="E18">
        <f t="shared" si="2"/>
        <v>307</v>
      </c>
      <c r="F18">
        <v>67</v>
      </c>
      <c r="G18">
        <f t="shared" si="3"/>
        <v>5</v>
      </c>
    </row>
    <row r="19" spans="1:7" x14ac:dyDescent="0.3">
      <c r="A19" t="s">
        <v>212</v>
      </c>
      <c r="B19" t="s">
        <v>336</v>
      </c>
      <c r="C19">
        <v>73</v>
      </c>
      <c r="D19">
        <f>SUMIF('геншин персы'!AA:AA,A19,'геншин персы'!Z:Z)</f>
        <v>225</v>
      </c>
      <c r="E19">
        <f t="shared" si="2"/>
        <v>152</v>
      </c>
      <c r="F19">
        <v>80</v>
      </c>
      <c r="G19">
        <f t="shared" si="3"/>
        <v>2</v>
      </c>
    </row>
    <row r="20" spans="1:7" x14ac:dyDescent="0.3">
      <c r="A20" t="s">
        <v>208</v>
      </c>
      <c r="B20" t="s">
        <v>336</v>
      </c>
      <c r="C20">
        <v>280</v>
      </c>
      <c r="D20">
        <f>SUMIF('геншин персы'!AA:AA,A20,'геншин персы'!Z:Z)</f>
        <v>408</v>
      </c>
      <c r="E20">
        <f t="shared" si="2"/>
        <v>128</v>
      </c>
      <c r="F20">
        <v>237</v>
      </c>
      <c r="G20">
        <f t="shared" si="3"/>
        <v>1</v>
      </c>
    </row>
    <row r="21" spans="1:7" x14ac:dyDescent="0.3">
      <c r="A21" t="s">
        <v>200</v>
      </c>
      <c r="B21" t="s">
        <v>331</v>
      </c>
      <c r="C21">
        <v>210</v>
      </c>
      <c r="D21">
        <f>SUMIF('геншин персы'!AA:AA,A21,'геншин персы'!Z:Z)</f>
        <v>333</v>
      </c>
      <c r="E21">
        <f t="shared" si="2"/>
        <v>123</v>
      </c>
      <c r="F21">
        <v>56</v>
      </c>
      <c r="G21">
        <f t="shared" si="3"/>
        <v>3</v>
      </c>
    </row>
    <row r="22" spans="1:7" hidden="1" x14ac:dyDescent="0.3">
      <c r="A22" t="s">
        <v>205</v>
      </c>
      <c r="B22" t="s">
        <v>331</v>
      </c>
      <c r="C22">
        <v>567</v>
      </c>
      <c r="D22">
        <f>SUMIF('геншин персы'!AA:AA,A22,'геншин персы'!Z:Z)</f>
        <v>405</v>
      </c>
      <c r="E22">
        <f t="shared" si="2"/>
        <v>0</v>
      </c>
      <c r="F22">
        <f>19*4</f>
        <v>76</v>
      </c>
      <c r="G22">
        <f t="shared" si="3"/>
        <v>0</v>
      </c>
    </row>
    <row r="23" spans="1:7" hidden="1" x14ac:dyDescent="0.3">
      <c r="A23" t="s">
        <v>204</v>
      </c>
      <c r="B23" t="s">
        <v>331</v>
      </c>
      <c r="C23">
        <v>97</v>
      </c>
      <c r="D23">
        <f>SUMIF('геншин персы'!AA:AA,A23,'геншин персы'!Z:Z)</f>
        <v>0</v>
      </c>
      <c r="E23">
        <f t="shared" si="2"/>
        <v>0</v>
      </c>
      <c r="F23">
        <v>73</v>
      </c>
      <c r="G23">
        <f t="shared" si="3"/>
        <v>0</v>
      </c>
    </row>
    <row r="24" spans="1:7" hidden="1" x14ac:dyDescent="0.3">
      <c r="A24" t="s">
        <v>202</v>
      </c>
      <c r="B24" t="s">
        <v>331</v>
      </c>
      <c r="C24">
        <v>152</v>
      </c>
      <c r="D24">
        <f>SUMIF('геншин персы'!AA:AA,A24,'геншин персы'!Z:Z)</f>
        <v>135</v>
      </c>
      <c r="E24">
        <f t="shared" si="2"/>
        <v>0</v>
      </c>
      <c r="F24">
        <v>53</v>
      </c>
      <c r="G24">
        <f t="shared" si="3"/>
        <v>0</v>
      </c>
    </row>
    <row r="25" spans="1:7" hidden="1" x14ac:dyDescent="0.3">
      <c r="A25" t="s">
        <v>201</v>
      </c>
      <c r="B25" t="s">
        <v>331</v>
      </c>
      <c r="C25">
        <v>232</v>
      </c>
      <c r="D25">
        <f>SUMIF('геншин персы'!AA:AA,A25,'геншин персы'!Z:Z)</f>
        <v>135</v>
      </c>
      <c r="E25">
        <f t="shared" si="2"/>
        <v>0</v>
      </c>
      <c r="F25">
        <v>53</v>
      </c>
      <c r="G25">
        <f t="shared" si="3"/>
        <v>0</v>
      </c>
    </row>
    <row r="26" spans="1:7" hidden="1" x14ac:dyDescent="0.3">
      <c r="A26" t="s">
        <v>199</v>
      </c>
      <c r="B26" t="s">
        <v>331</v>
      </c>
      <c r="C26">
        <v>309</v>
      </c>
      <c r="D26">
        <f>SUMIF('геншин персы'!AA:AA,A26,'геншин персы'!Z:Z)</f>
        <v>303</v>
      </c>
      <c r="E26">
        <f t="shared" si="2"/>
        <v>0</v>
      </c>
      <c r="F26">
        <v>37</v>
      </c>
      <c r="G26">
        <f t="shared" si="3"/>
        <v>0</v>
      </c>
    </row>
    <row r="27" spans="1:7" hidden="1" x14ac:dyDescent="0.3">
      <c r="A27" t="s">
        <v>198</v>
      </c>
      <c r="B27" t="s">
        <v>331</v>
      </c>
      <c r="C27">
        <v>418</v>
      </c>
      <c r="D27">
        <f>SUMIF('геншин персы'!AA:AA,A27,'геншин персы'!Z:Z)</f>
        <v>405</v>
      </c>
      <c r="E27">
        <f t="shared" si="2"/>
        <v>0</v>
      </c>
      <c r="F27">
        <v>77</v>
      </c>
      <c r="G27">
        <f t="shared" si="3"/>
        <v>0</v>
      </c>
    </row>
    <row r="28" spans="1:7" hidden="1" x14ac:dyDescent="0.3">
      <c r="A28" t="s">
        <v>228</v>
      </c>
      <c r="B28" t="s">
        <v>332</v>
      </c>
      <c r="C28">
        <v>181</v>
      </c>
      <c r="D28">
        <f>SUMIF('геншин персы'!AA:AA,A28,'геншин персы'!Z:Z)</f>
        <v>168</v>
      </c>
      <c r="E28">
        <f t="shared" si="2"/>
        <v>0</v>
      </c>
      <c r="F28">
        <v>68</v>
      </c>
      <c r="G28">
        <f t="shared" si="3"/>
        <v>0</v>
      </c>
    </row>
    <row r="29" spans="1:7" hidden="1" x14ac:dyDescent="0.3">
      <c r="A29" t="s">
        <v>225</v>
      </c>
      <c r="B29" t="s">
        <v>332</v>
      </c>
      <c r="C29">
        <v>169</v>
      </c>
      <c r="D29">
        <f>SUMIF('геншин персы'!AA:AA,A29,'геншин персы'!Z:Z)</f>
        <v>168</v>
      </c>
      <c r="E29">
        <f t="shared" si="2"/>
        <v>0</v>
      </c>
      <c r="F29">
        <v>74</v>
      </c>
      <c r="G29">
        <f t="shared" si="3"/>
        <v>0</v>
      </c>
    </row>
    <row r="30" spans="1:7" hidden="1" x14ac:dyDescent="0.3">
      <c r="A30" t="s">
        <v>224</v>
      </c>
      <c r="B30" t="s">
        <v>332</v>
      </c>
      <c r="C30">
        <v>168</v>
      </c>
      <c r="D30">
        <f>SUMIF('геншин персы'!AA:AA,A30,'геншин персы'!Z:Z)</f>
        <v>168</v>
      </c>
      <c r="E30">
        <f t="shared" si="2"/>
        <v>0</v>
      </c>
      <c r="F30">
        <v>81</v>
      </c>
      <c r="G30">
        <f t="shared" si="3"/>
        <v>0</v>
      </c>
    </row>
    <row r="31" spans="1:7" x14ac:dyDescent="0.3">
      <c r="A31" t="s">
        <v>203</v>
      </c>
      <c r="B31" t="s">
        <v>331</v>
      </c>
      <c r="C31">
        <v>269</v>
      </c>
      <c r="D31">
        <f>SUMIF('геншин персы'!AA:AA,A31,'геншин персы'!Z:Z)</f>
        <v>300</v>
      </c>
      <c r="E31">
        <f t="shared" si="2"/>
        <v>31</v>
      </c>
      <c r="F31">
        <v>35</v>
      </c>
      <c r="G31">
        <f t="shared" si="3"/>
        <v>1</v>
      </c>
    </row>
    <row r="32" spans="1:7" x14ac:dyDescent="0.3">
      <c r="A32" t="s">
        <v>241</v>
      </c>
      <c r="B32" t="s">
        <v>337</v>
      </c>
      <c r="C32">
        <v>57</v>
      </c>
      <c r="D32">
        <f>SUMIF('геншин персы'!AA:AA,A32,'геншин персы'!Z:Z)</f>
        <v>168</v>
      </c>
      <c r="E32">
        <f t="shared" si="2"/>
        <v>111</v>
      </c>
      <c r="F32">
        <v>77</v>
      </c>
      <c r="G32">
        <f t="shared" si="3"/>
        <v>2</v>
      </c>
    </row>
    <row r="33" spans="1:7" x14ac:dyDescent="0.3">
      <c r="A33" t="s">
        <v>243</v>
      </c>
      <c r="B33" t="s">
        <v>337</v>
      </c>
      <c r="C33">
        <v>70</v>
      </c>
      <c r="D33">
        <f>SUMIF('геншин персы'!AA:AA,A33,'геншин персы'!Z:Z)</f>
        <v>168</v>
      </c>
      <c r="E33">
        <f t="shared" si="2"/>
        <v>98</v>
      </c>
      <c r="F33">
        <f>33*3</f>
        <v>99</v>
      </c>
      <c r="G33">
        <f t="shared" si="3"/>
        <v>1</v>
      </c>
    </row>
    <row r="34" spans="1:7" x14ac:dyDescent="0.3">
      <c r="A34" t="s">
        <v>242</v>
      </c>
      <c r="B34" t="s">
        <v>337</v>
      </c>
      <c r="C34">
        <v>87</v>
      </c>
      <c r="D34">
        <f>SUMIF('геншин персы'!AA:AA,A34,'геншин персы'!Z:Z)</f>
        <v>168</v>
      </c>
      <c r="E34">
        <f t="shared" si="2"/>
        <v>81</v>
      </c>
      <c r="F34">
        <v>73</v>
      </c>
      <c r="G34">
        <f t="shared" si="3"/>
        <v>2</v>
      </c>
    </row>
    <row r="35" spans="1:7" x14ac:dyDescent="0.3">
      <c r="A35" t="s">
        <v>244</v>
      </c>
      <c r="B35" t="s">
        <v>337</v>
      </c>
      <c r="C35">
        <v>167</v>
      </c>
      <c r="D35">
        <f>SUMIF('геншин персы'!AA:AA,A35,'геншин персы'!Z:Z)</f>
        <v>333</v>
      </c>
      <c r="E35">
        <f t="shared" si="2"/>
        <v>166</v>
      </c>
      <c r="F35">
        <v>71</v>
      </c>
      <c r="G35">
        <f t="shared" si="3"/>
        <v>3</v>
      </c>
    </row>
    <row r="36" spans="1:7" x14ac:dyDescent="0.3">
      <c r="A36" t="s">
        <v>229</v>
      </c>
      <c r="B36" t="s">
        <v>332</v>
      </c>
      <c r="C36">
        <v>5</v>
      </c>
      <c r="D36">
        <f>SUMIF('геншин персы'!AA:AA,A36,'геншин персы'!Z:Z)</f>
        <v>195</v>
      </c>
      <c r="E36">
        <f t="shared" si="2"/>
        <v>190</v>
      </c>
      <c r="F36">
        <v>79</v>
      </c>
      <c r="G36">
        <f t="shared" si="3"/>
        <v>3</v>
      </c>
    </row>
    <row r="37" spans="1:7" x14ac:dyDescent="0.3">
      <c r="A37" t="s">
        <v>230</v>
      </c>
      <c r="B37" t="s">
        <v>332</v>
      </c>
      <c r="C37">
        <v>26</v>
      </c>
      <c r="D37">
        <f>SUMIF('геншин персы'!AA:AA,A37,'геншин персы'!Z:Z)</f>
        <v>240</v>
      </c>
      <c r="E37">
        <f t="shared" si="2"/>
        <v>214</v>
      </c>
      <c r="F37">
        <v>77</v>
      </c>
      <c r="G37">
        <f t="shared" si="3"/>
        <v>3</v>
      </c>
    </row>
    <row r="38" spans="1:7" x14ac:dyDescent="0.3">
      <c r="A38" t="s">
        <v>226</v>
      </c>
      <c r="B38" t="s">
        <v>332</v>
      </c>
      <c r="C38">
        <v>45</v>
      </c>
      <c r="D38">
        <f>SUMIF('геншин персы'!AA:AA,A38,'геншин персы'!Z:Z)</f>
        <v>260</v>
      </c>
      <c r="E38">
        <f t="shared" si="2"/>
        <v>215</v>
      </c>
      <c r="F38">
        <v>101</v>
      </c>
      <c r="G38">
        <f t="shared" si="3"/>
        <v>3</v>
      </c>
    </row>
    <row r="39" spans="1:7" x14ac:dyDescent="0.3">
      <c r="A39" t="s">
        <v>227</v>
      </c>
      <c r="B39" t="s">
        <v>332</v>
      </c>
      <c r="C39">
        <v>47</v>
      </c>
      <c r="D39">
        <f>SUMIF('геншин персы'!AA:AA,A39,'геншин персы'!Z:Z)</f>
        <v>168</v>
      </c>
      <c r="E39">
        <f t="shared" si="2"/>
        <v>121</v>
      </c>
      <c r="F39">
        <v>78</v>
      </c>
      <c r="G39">
        <f t="shared" si="3"/>
        <v>2</v>
      </c>
    </row>
    <row r="40" spans="1:7" x14ac:dyDescent="0.3">
      <c r="A40" t="s">
        <v>231</v>
      </c>
      <c r="B40" t="s">
        <v>332</v>
      </c>
      <c r="C40">
        <v>48</v>
      </c>
      <c r="D40">
        <f>SUMIF('геншин персы'!AA:AA,A40,'геншин персы'!Z:Z)</f>
        <v>303</v>
      </c>
      <c r="E40">
        <f t="shared" si="2"/>
        <v>255</v>
      </c>
      <c r="F40">
        <v>66</v>
      </c>
      <c r="G40">
        <f t="shared" si="3"/>
        <v>4</v>
      </c>
    </row>
    <row r="41" spans="1:7" hidden="1" x14ac:dyDescent="0.3">
      <c r="A41" t="s">
        <v>237</v>
      </c>
      <c r="B41" t="s">
        <v>334</v>
      </c>
      <c r="C41">
        <v>167</v>
      </c>
      <c r="D41">
        <f>SUMIF('геншин персы'!AA:AA,A41,'геншин персы'!Z:Z)</f>
        <v>165</v>
      </c>
      <c r="E41">
        <f t="shared" si="2"/>
        <v>0</v>
      </c>
      <c r="F41">
        <v>105</v>
      </c>
      <c r="G41">
        <f t="shared" si="3"/>
        <v>0</v>
      </c>
    </row>
    <row r="42" spans="1:7" hidden="1" x14ac:dyDescent="0.3">
      <c r="A42" t="s">
        <v>235</v>
      </c>
      <c r="B42" t="s">
        <v>334</v>
      </c>
      <c r="C42">
        <v>24</v>
      </c>
      <c r="D42">
        <f>SUMIF('геншин персы'!AA:AA,A42,'геншин персы'!Z:Z)</f>
        <v>0</v>
      </c>
      <c r="E42">
        <f t="shared" si="2"/>
        <v>0</v>
      </c>
      <c r="F42">
        <v>71</v>
      </c>
      <c r="G42">
        <f t="shared" si="3"/>
        <v>0</v>
      </c>
    </row>
    <row r="43" spans="1:7" x14ac:dyDescent="0.3">
      <c r="A43" t="s">
        <v>223</v>
      </c>
      <c r="B43" t="s">
        <v>332</v>
      </c>
      <c r="C43">
        <v>92</v>
      </c>
      <c r="D43">
        <f>SUMIF('геншин персы'!AA:AA,A43,'геншин персы'!Z:Z)</f>
        <v>165</v>
      </c>
      <c r="E43">
        <f t="shared" si="2"/>
        <v>73</v>
      </c>
      <c r="F43">
        <v>66</v>
      </c>
      <c r="G43">
        <f t="shared" si="3"/>
        <v>2</v>
      </c>
    </row>
    <row r="44" spans="1:7" x14ac:dyDescent="0.3">
      <c r="A44" t="s">
        <v>236</v>
      </c>
      <c r="B44" t="s">
        <v>334</v>
      </c>
      <c r="C44">
        <v>24</v>
      </c>
      <c r="D44">
        <f>SUMIF('геншин персы'!AA:AA,A44,'геншин персы'!Z:Z)</f>
        <v>168</v>
      </c>
      <c r="E44">
        <f t="shared" si="2"/>
        <v>144</v>
      </c>
      <c r="F44">
        <v>78</v>
      </c>
      <c r="G44">
        <f t="shared" si="3"/>
        <v>2</v>
      </c>
    </row>
    <row r="45" spans="1:7" x14ac:dyDescent="0.3">
      <c r="A45" t="s">
        <v>240</v>
      </c>
      <c r="B45" t="s">
        <v>334</v>
      </c>
      <c r="C45">
        <v>163</v>
      </c>
      <c r="D45">
        <f>SUMIF('геншин персы'!AA:AA,A45,'геншин персы'!Z:Z)</f>
        <v>323</v>
      </c>
      <c r="E45">
        <f t="shared" si="2"/>
        <v>160</v>
      </c>
      <c r="F45">
        <v>120</v>
      </c>
      <c r="G45">
        <f t="shared" si="3"/>
        <v>2</v>
      </c>
    </row>
    <row r="46" spans="1:7" x14ac:dyDescent="0.3">
      <c r="A46" t="s">
        <v>238</v>
      </c>
      <c r="B46" t="s">
        <v>334</v>
      </c>
      <c r="C46">
        <v>165</v>
      </c>
      <c r="D46">
        <f>SUMIF('геншин персы'!AA:AA,A46,'геншин персы'!Z:Z)</f>
        <v>336</v>
      </c>
      <c r="E46">
        <f t="shared" si="2"/>
        <v>171</v>
      </c>
      <c r="F46">
        <v>81</v>
      </c>
      <c r="G46">
        <f t="shared" si="3"/>
        <v>3</v>
      </c>
    </row>
    <row r="47" spans="1:7" x14ac:dyDescent="0.3">
      <c r="A47" t="s">
        <v>234</v>
      </c>
      <c r="B47" t="s">
        <v>334</v>
      </c>
      <c r="C47">
        <v>176</v>
      </c>
      <c r="D47">
        <f>SUMIF('геншин персы'!AA:AA,A47,'геншин персы'!Z:Z)</f>
        <v>336</v>
      </c>
      <c r="E47">
        <f t="shared" si="2"/>
        <v>160</v>
      </c>
      <c r="F47">
        <v>79</v>
      </c>
      <c r="G47">
        <f t="shared" si="3"/>
        <v>3</v>
      </c>
    </row>
    <row r="48" spans="1:7" x14ac:dyDescent="0.3">
      <c r="A48" t="s">
        <v>239</v>
      </c>
      <c r="B48" t="s">
        <v>334</v>
      </c>
      <c r="C48">
        <v>243</v>
      </c>
      <c r="D48">
        <f>SUMIF('геншин персы'!AA:AA,A48,'геншин персы'!Z:Z)</f>
        <v>336</v>
      </c>
      <c r="E48">
        <f t="shared" si="2"/>
        <v>93</v>
      </c>
      <c r="F48">
        <f>30*3</f>
        <v>90</v>
      </c>
      <c r="G48">
        <f t="shared" si="3"/>
        <v>2</v>
      </c>
    </row>
    <row r="49" spans="1:7" hidden="1" x14ac:dyDescent="0.3">
      <c r="A49" t="s">
        <v>375</v>
      </c>
      <c r="B49" t="s">
        <v>337</v>
      </c>
      <c r="C49">
        <v>0</v>
      </c>
      <c r="D49">
        <f>SUMIF('геншин персы'!AA:AA,A49,'геншин персы'!Z:Z)</f>
        <v>333</v>
      </c>
      <c r="E49">
        <f t="shared" ref="E49:E50" si="4">IF(D49-C49&lt;0,0,D49-C49)</f>
        <v>333</v>
      </c>
      <c r="F49">
        <v>1</v>
      </c>
      <c r="G49">
        <f t="shared" ref="G49:G50" si="5">ROUNDUP(E49/F49,0)</f>
        <v>333</v>
      </c>
    </row>
    <row r="50" spans="1:7" hidden="1" x14ac:dyDescent="0.3">
      <c r="A50" t="s">
        <v>374</v>
      </c>
      <c r="B50" t="s">
        <v>337</v>
      </c>
      <c r="C50">
        <v>8</v>
      </c>
      <c r="D50">
        <f>SUMIF('геншин персы'!AA:AA,A50,'геншин персы'!Z:Z)</f>
        <v>165</v>
      </c>
      <c r="E50">
        <f t="shared" si="4"/>
        <v>157</v>
      </c>
      <c r="F50">
        <v>1</v>
      </c>
      <c r="G50">
        <f t="shared" si="5"/>
        <v>157</v>
      </c>
    </row>
  </sheetData>
  <autoFilter ref="A1:G50" xr:uid="{EA36F5CD-5D7B-4489-AFFC-309E3AD22DC5}">
    <filterColumn colId="6">
      <filters>
        <filter val="1"/>
        <filter val="2"/>
        <filter val="3"/>
        <filter val="4"/>
        <filter val="5"/>
      </filters>
    </filterColumn>
    <sortState xmlns:xlrd2="http://schemas.microsoft.com/office/spreadsheetml/2017/richdata2" ref="A9:G48">
      <sortCondition ref="B1:B50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F0B6-7DAD-42B8-8CB3-9C6AB44142F2}">
  <dimension ref="A1:S104"/>
  <sheetViews>
    <sheetView workbookViewId="0">
      <pane xSplit="1" topLeftCell="B1" activePane="topRight" state="frozen"/>
      <selection pane="topRight" activeCell="E14" sqref="E14"/>
    </sheetView>
  </sheetViews>
  <sheetFormatPr defaultRowHeight="14.4" x14ac:dyDescent="0.3"/>
  <cols>
    <col min="1" max="1" width="7.88671875" style="26" bestFit="1" customWidth="1"/>
  </cols>
  <sheetData>
    <row r="1" spans="1:19" x14ac:dyDescent="0.3">
      <c r="A1" s="4" t="s">
        <v>190</v>
      </c>
      <c r="B1" s="31" t="s">
        <v>245</v>
      </c>
      <c r="C1" s="11" t="s">
        <v>246</v>
      </c>
      <c r="D1" s="11" t="s">
        <v>247</v>
      </c>
      <c r="E1" s="13" t="s">
        <v>365</v>
      </c>
      <c r="F1" s="31" t="s">
        <v>245</v>
      </c>
      <c r="G1" s="11" t="s">
        <v>366</v>
      </c>
      <c r="H1" s="11" t="s">
        <v>246</v>
      </c>
      <c r="I1" s="11" t="s">
        <v>247</v>
      </c>
      <c r="J1" s="13" t="s">
        <v>365</v>
      </c>
      <c r="K1" s="31" t="s">
        <v>245</v>
      </c>
      <c r="L1" s="11" t="s">
        <v>366</v>
      </c>
      <c r="M1" s="11" t="s">
        <v>246</v>
      </c>
      <c r="N1" s="11" t="s">
        <v>247</v>
      </c>
      <c r="O1" s="13" t="s">
        <v>365</v>
      </c>
      <c r="P1" s="31" t="s">
        <v>245</v>
      </c>
      <c r="Q1" s="11" t="s">
        <v>366</v>
      </c>
      <c r="R1" s="11" t="s">
        <v>246</v>
      </c>
      <c r="S1" s="13" t="s">
        <v>247</v>
      </c>
    </row>
    <row r="2" spans="1:19" x14ac:dyDescent="0.3">
      <c r="A2" s="17" t="s">
        <v>192</v>
      </c>
      <c r="B2" s="31">
        <v>1</v>
      </c>
      <c r="C2" s="11">
        <f>SUMIF('геншин персы'!D:D,A2,'геншин персы'!L:L)</f>
        <v>5</v>
      </c>
      <c r="D2" s="11">
        <f>IF(C2-B2&lt;0,0,C2-B2)</f>
        <v>4</v>
      </c>
      <c r="E2" s="13">
        <f>IF(D2=0,B2-C2,0)</f>
        <v>0</v>
      </c>
      <c r="F2" s="31">
        <v>132</v>
      </c>
      <c r="G2" s="11">
        <f>F2+ROUNDDOWN(E2/3,0)</f>
        <v>132</v>
      </c>
      <c r="H2" s="11">
        <f>SUMIF('геншин персы'!D:D,A2,'геншин персы'!K:K)</f>
        <v>54</v>
      </c>
      <c r="I2" s="11">
        <v>19</v>
      </c>
      <c r="J2" s="13">
        <f>IF(I2=0,G2-H2,0)</f>
        <v>0</v>
      </c>
      <c r="K2" s="31">
        <v>0</v>
      </c>
      <c r="L2" s="11">
        <f>K2+ROUNDDOWN(J2/3,0)</f>
        <v>0</v>
      </c>
      <c r="M2" s="11">
        <f>SUMIF('геншин персы'!D:D,A2,'геншин персы'!J:J)</f>
        <v>90</v>
      </c>
      <c r="N2" s="11">
        <f>IF(M2-L2&lt;0,0,M2-L2)</f>
        <v>90</v>
      </c>
      <c r="O2" s="13">
        <f>IF(N2=0,K2-M2,0)</f>
        <v>0</v>
      </c>
      <c r="P2" s="31">
        <v>0</v>
      </c>
      <c r="Q2" s="11">
        <f>P2+ROUNDDOWN(O2/3,0)</f>
        <v>0</v>
      </c>
      <c r="R2" s="11">
        <f>SUMIF('геншин персы'!D:D,A2,'геншин персы'!I:I)</f>
        <v>60</v>
      </c>
      <c r="S2" s="13">
        <f>IF(R2-Q2&lt;0,0,R2-Q2)</f>
        <v>60</v>
      </c>
    </row>
    <row r="3" spans="1:19" x14ac:dyDescent="0.3">
      <c r="A3" s="21" t="s">
        <v>191</v>
      </c>
      <c r="B3" s="31">
        <v>36</v>
      </c>
      <c r="C3" s="11">
        <f>SUMIF('геншин персы'!D:D,A3,'геншин персы'!L:L)</f>
        <v>5</v>
      </c>
      <c r="D3" s="11">
        <f t="shared" ref="D3:D8" si="0">IF(C3-B3&lt;0,0,C3-B3)</f>
        <v>0</v>
      </c>
      <c r="E3" s="13">
        <f t="shared" ref="E3:E8" si="1">IF(D3=0,B3-C3,0)</f>
        <v>31</v>
      </c>
      <c r="F3" s="31">
        <v>51</v>
      </c>
      <c r="G3" s="11">
        <f t="shared" ref="G3:G8" si="2">F3+ROUNDDOWN(E3/3,0)</f>
        <v>61</v>
      </c>
      <c r="H3" s="11">
        <f>SUMIF('геншин персы'!D:D,A3,'геншин персы'!K:K)</f>
        <v>54</v>
      </c>
      <c r="I3" s="11">
        <f t="shared" ref="I3:I8" si="3">IF(H3-G3&lt;0,0,H3-G3)</f>
        <v>0</v>
      </c>
      <c r="J3" s="13">
        <f t="shared" ref="J3:J8" si="4">IF(I3=0,G3-H3,0)</f>
        <v>7</v>
      </c>
      <c r="K3" s="31">
        <v>0</v>
      </c>
      <c r="L3" s="11">
        <f t="shared" ref="L3:L8" si="5">K3+ROUNDDOWN(J3/3,0)</f>
        <v>2</v>
      </c>
      <c r="M3" s="11">
        <f>SUMIF('геншин персы'!D:D,A3,'геншин персы'!J:J)</f>
        <v>72</v>
      </c>
      <c r="N3" s="11">
        <f t="shared" ref="N3:N8" si="6">IF(M3-L3&lt;0,0,M3-L3)</f>
        <v>70</v>
      </c>
      <c r="O3" s="13">
        <f t="shared" ref="O3:O8" si="7">IF(N3=0,K3-M3,0)</f>
        <v>0</v>
      </c>
      <c r="P3" s="31">
        <v>0</v>
      </c>
      <c r="Q3" s="11">
        <f t="shared" ref="Q3:Q8" si="8">P3+ROUNDDOWN(O3/3,0)</f>
        <v>0</v>
      </c>
      <c r="R3" s="11">
        <f>SUMIF('геншин персы'!D:D,A3,'геншин персы'!I:I)</f>
        <v>54</v>
      </c>
      <c r="S3" s="13">
        <f t="shared" ref="S3:S8" si="9">IF(R3-Q3&lt;0,0,R3-Q3)</f>
        <v>54</v>
      </c>
    </row>
    <row r="4" spans="1:19" x14ac:dyDescent="0.3">
      <c r="A4" s="18" t="s">
        <v>193</v>
      </c>
      <c r="B4" s="31">
        <v>52</v>
      </c>
      <c r="C4" s="11">
        <f>SUMIF('геншин персы'!D:D,A4,'геншин персы'!L:L)</f>
        <v>6</v>
      </c>
      <c r="D4" s="11">
        <f t="shared" si="0"/>
        <v>0</v>
      </c>
      <c r="E4" s="13">
        <f t="shared" si="1"/>
        <v>46</v>
      </c>
      <c r="F4" s="31">
        <v>62</v>
      </c>
      <c r="G4" s="11">
        <f t="shared" si="2"/>
        <v>77</v>
      </c>
      <c r="H4" s="11">
        <f>SUMIF('геншин персы'!D:D,A4,'геншин персы'!K:K)</f>
        <v>63</v>
      </c>
      <c r="I4" s="11">
        <f t="shared" si="3"/>
        <v>0</v>
      </c>
      <c r="J4" s="13">
        <f t="shared" si="4"/>
        <v>14</v>
      </c>
      <c r="K4" s="31">
        <v>0</v>
      </c>
      <c r="L4" s="11">
        <f t="shared" si="5"/>
        <v>4</v>
      </c>
      <c r="M4" s="11">
        <f>SUMIF('геншин персы'!D:D,A4,'геншин персы'!J:J)</f>
        <v>99</v>
      </c>
      <c r="N4" s="11">
        <f t="shared" si="6"/>
        <v>95</v>
      </c>
      <c r="O4" s="13">
        <f>IF(N4=0,K4-M4,0)</f>
        <v>0</v>
      </c>
      <c r="P4" s="31">
        <v>0</v>
      </c>
      <c r="Q4" s="11">
        <f t="shared" si="8"/>
        <v>0</v>
      </c>
      <c r="R4" s="11">
        <f>SUMIF('геншин персы'!D:D,A4,'геншин персы'!I:I)</f>
        <v>72</v>
      </c>
      <c r="S4" s="13">
        <f t="shared" si="9"/>
        <v>72</v>
      </c>
    </row>
    <row r="5" spans="1:19" x14ac:dyDescent="0.3">
      <c r="A5" s="8" t="s">
        <v>194</v>
      </c>
      <c r="B5" s="31">
        <v>33</v>
      </c>
      <c r="C5" s="11">
        <f>SUMIF('геншин персы'!D:D,A5,'геншин персы'!L:L)</f>
        <v>7</v>
      </c>
      <c r="D5" s="11">
        <f t="shared" si="0"/>
        <v>0</v>
      </c>
      <c r="E5" s="13">
        <f t="shared" si="1"/>
        <v>26</v>
      </c>
      <c r="F5" s="31">
        <v>33</v>
      </c>
      <c r="G5" s="11">
        <f t="shared" si="2"/>
        <v>41</v>
      </c>
      <c r="H5" s="11">
        <f>SUMIF('геншин персы'!D:D,A5,'геншин персы'!K:K)</f>
        <v>81</v>
      </c>
      <c r="I5" s="11">
        <f t="shared" si="3"/>
        <v>40</v>
      </c>
      <c r="J5" s="13">
        <f t="shared" si="4"/>
        <v>0</v>
      </c>
      <c r="K5" s="31">
        <v>6</v>
      </c>
      <c r="L5" s="11">
        <f t="shared" si="5"/>
        <v>6</v>
      </c>
      <c r="M5" s="11">
        <f>SUMIF('геншин персы'!D:D,A5,'геншин персы'!J:J)</f>
        <v>120</v>
      </c>
      <c r="N5" s="11">
        <f t="shared" si="6"/>
        <v>114</v>
      </c>
      <c r="O5" s="13">
        <f t="shared" si="7"/>
        <v>0</v>
      </c>
      <c r="P5" s="31">
        <v>0</v>
      </c>
      <c r="Q5" s="11">
        <f t="shared" si="8"/>
        <v>0</v>
      </c>
      <c r="R5" s="11">
        <f>SUMIF('геншин персы'!D:D,A5,'геншин персы'!I:I)</f>
        <v>90</v>
      </c>
      <c r="S5" s="13">
        <f t="shared" si="9"/>
        <v>90</v>
      </c>
    </row>
    <row r="6" spans="1:19" x14ac:dyDescent="0.3">
      <c r="A6" s="23" t="s">
        <v>195</v>
      </c>
      <c r="B6" s="31">
        <v>25</v>
      </c>
      <c r="C6" s="11">
        <f>SUMIF('геншин персы'!D:D,A6,'геншин персы'!L:L)</f>
        <v>4</v>
      </c>
      <c r="D6" s="11">
        <f t="shared" si="0"/>
        <v>0</v>
      </c>
      <c r="E6" s="13">
        <f t="shared" si="1"/>
        <v>21</v>
      </c>
      <c r="F6" s="31">
        <v>41</v>
      </c>
      <c r="G6" s="11">
        <f t="shared" si="2"/>
        <v>48</v>
      </c>
      <c r="H6" s="11">
        <f>SUMIF('геншин персы'!D:D,A6,'геншин персы'!K:K)</f>
        <v>48</v>
      </c>
      <c r="I6" s="11">
        <f t="shared" si="3"/>
        <v>0</v>
      </c>
      <c r="J6" s="13">
        <f t="shared" si="4"/>
        <v>0</v>
      </c>
      <c r="K6" s="31">
        <v>0</v>
      </c>
      <c r="L6" s="11">
        <f t="shared" si="5"/>
        <v>0</v>
      </c>
      <c r="M6" s="11">
        <f>SUMIF('геншин персы'!D:D,A6,'геншин персы'!J:J)</f>
        <v>69</v>
      </c>
      <c r="N6" s="11">
        <f t="shared" si="6"/>
        <v>69</v>
      </c>
      <c r="O6" s="13">
        <f t="shared" si="7"/>
        <v>0</v>
      </c>
      <c r="P6" s="31">
        <v>0</v>
      </c>
      <c r="Q6" s="11">
        <f t="shared" si="8"/>
        <v>0</v>
      </c>
      <c r="R6" s="11">
        <f>SUMIF('геншин персы'!D:D,A6,'геншин персы'!I:I)</f>
        <v>54</v>
      </c>
      <c r="S6" s="13">
        <f t="shared" si="9"/>
        <v>54</v>
      </c>
    </row>
    <row r="7" spans="1:19" x14ac:dyDescent="0.3">
      <c r="A7" s="22" t="s">
        <v>197</v>
      </c>
      <c r="B7" s="31">
        <v>63</v>
      </c>
      <c r="C7" s="11">
        <f>SUMIF('геншин персы'!D:D,A7,'геншин персы'!L:L)</f>
        <v>4</v>
      </c>
      <c r="D7" s="11">
        <f t="shared" si="0"/>
        <v>0</v>
      </c>
      <c r="E7" s="13">
        <f t="shared" si="1"/>
        <v>59</v>
      </c>
      <c r="F7" s="31">
        <v>53</v>
      </c>
      <c r="G7" s="11">
        <f t="shared" si="2"/>
        <v>72</v>
      </c>
      <c r="H7" s="11">
        <f>SUMIF('геншин персы'!D:D,A7,'геншин персы'!K:K)</f>
        <v>54</v>
      </c>
      <c r="I7" s="11">
        <f t="shared" si="3"/>
        <v>0</v>
      </c>
      <c r="J7" s="13">
        <f t="shared" si="4"/>
        <v>18</v>
      </c>
      <c r="K7" s="31">
        <v>1</v>
      </c>
      <c r="L7" s="11">
        <f t="shared" si="5"/>
        <v>7</v>
      </c>
      <c r="M7" s="11">
        <f>SUMIF('геншин персы'!D:D,A7,'геншин персы'!J:J)</f>
        <v>84</v>
      </c>
      <c r="N7" s="11">
        <f t="shared" si="6"/>
        <v>77</v>
      </c>
      <c r="O7" s="13">
        <f t="shared" si="7"/>
        <v>0</v>
      </c>
      <c r="P7" s="31">
        <v>0</v>
      </c>
      <c r="Q7" s="11">
        <f t="shared" si="8"/>
        <v>0</v>
      </c>
      <c r="R7" s="11">
        <f>SUMIF('геншин персы'!D:D,A7,'геншин персы'!I:I)</f>
        <v>60</v>
      </c>
      <c r="S7" s="13">
        <f t="shared" si="9"/>
        <v>60</v>
      </c>
    </row>
    <row r="8" spans="1:19" x14ac:dyDescent="0.3">
      <c r="A8" s="16" t="s">
        <v>196</v>
      </c>
      <c r="B8" s="31">
        <v>74</v>
      </c>
      <c r="C8" s="11">
        <f>SUMIF('геншин персы'!D:D,A8,'геншин персы'!L:L)</f>
        <v>3</v>
      </c>
      <c r="D8" s="11">
        <f t="shared" si="0"/>
        <v>0</v>
      </c>
      <c r="E8" s="13">
        <f t="shared" si="1"/>
        <v>71</v>
      </c>
      <c r="F8" s="31">
        <v>75</v>
      </c>
      <c r="G8" s="11">
        <f t="shared" si="2"/>
        <v>98</v>
      </c>
      <c r="H8" s="11">
        <f>SUMIF('геншин персы'!D:D,A8,'геншин персы'!K:K)</f>
        <v>45</v>
      </c>
      <c r="I8" s="11">
        <f t="shared" si="3"/>
        <v>0</v>
      </c>
      <c r="J8" s="13">
        <f t="shared" si="4"/>
        <v>53</v>
      </c>
      <c r="K8" s="31">
        <v>0</v>
      </c>
      <c r="L8" s="11">
        <f t="shared" si="5"/>
        <v>17</v>
      </c>
      <c r="M8" s="11">
        <f>SUMIF('геншин персы'!D:D,A8,'геншин персы'!J:J)</f>
        <v>108</v>
      </c>
      <c r="N8" s="11">
        <f t="shared" si="6"/>
        <v>91</v>
      </c>
      <c r="O8" s="13">
        <f t="shared" si="7"/>
        <v>0</v>
      </c>
      <c r="P8" s="31">
        <v>0</v>
      </c>
      <c r="Q8" s="11">
        <f t="shared" si="8"/>
        <v>0</v>
      </c>
      <c r="R8" s="11">
        <f>SUMIF('геншин персы'!D:D,A8,'геншин персы'!I:I)</f>
        <v>72</v>
      </c>
      <c r="S8" s="13">
        <f t="shared" si="9"/>
        <v>72</v>
      </c>
    </row>
    <row r="9" spans="1:19" x14ac:dyDescent="0.3">
      <c r="A9"/>
    </row>
    <row r="10" spans="1:19" x14ac:dyDescent="0.3">
      <c r="A10"/>
    </row>
    <row r="11" spans="1:19" x14ac:dyDescent="0.3">
      <c r="A11"/>
    </row>
    <row r="12" spans="1:19" x14ac:dyDescent="0.3">
      <c r="A12"/>
    </row>
    <row r="13" spans="1:19" x14ac:dyDescent="0.3">
      <c r="A13"/>
    </row>
    <row r="14" spans="1:19" x14ac:dyDescent="0.3">
      <c r="A14"/>
    </row>
    <row r="15" spans="1:19" x14ac:dyDescent="0.3">
      <c r="A15"/>
    </row>
    <row r="16" spans="1:19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</sheetData>
  <conditionalFormatting sqref="B2:S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345E-51BA-41B0-BB27-6D72611A1468}">
  <dimension ref="A1:D104"/>
  <sheetViews>
    <sheetView topLeftCell="A5" workbookViewId="0">
      <selection activeCell="B5" sqref="B5"/>
    </sheetView>
  </sheetViews>
  <sheetFormatPr defaultRowHeight="14.4" x14ac:dyDescent="0.3"/>
  <cols>
    <col min="1" max="1" width="29" style="26" bestFit="1" customWidth="1"/>
    <col min="2" max="2" width="9.33203125" customWidth="1"/>
  </cols>
  <sheetData>
    <row r="1" spans="1:4" x14ac:dyDescent="0.3">
      <c r="A1" s="31" t="s">
        <v>288</v>
      </c>
      <c r="B1" t="s">
        <v>245</v>
      </c>
      <c r="C1" t="s">
        <v>246</v>
      </c>
      <c r="D1" t="s">
        <v>247</v>
      </c>
    </row>
    <row r="2" spans="1:4" x14ac:dyDescent="0.3">
      <c r="A2" s="33" t="s">
        <v>315</v>
      </c>
      <c r="B2">
        <v>12</v>
      </c>
      <c r="C2">
        <f>SUMIF('геншин персы'!T:T,A2,'геншин персы'!S:S)</f>
        <v>50</v>
      </c>
      <c r="D2">
        <f t="shared" ref="D2:D31" si="0">IF(C2-B2&lt;0,0,C2-B2)</f>
        <v>38</v>
      </c>
    </row>
    <row r="3" spans="1:4" x14ac:dyDescent="0.3">
      <c r="A3" s="33" t="s">
        <v>302</v>
      </c>
      <c r="B3">
        <v>0</v>
      </c>
      <c r="C3">
        <f>SUMIF('геншин персы'!T:T,A3,'геншин персы'!S:S)</f>
        <v>59</v>
      </c>
      <c r="D3">
        <f t="shared" si="0"/>
        <v>59</v>
      </c>
    </row>
    <row r="4" spans="1:4" x14ac:dyDescent="0.3">
      <c r="A4" s="33" t="s">
        <v>294</v>
      </c>
      <c r="B4">
        <v>0</v>
      </c>
      <c r="C4">
        <f>SUMIF('геншин персы'!T:T,A4,'геншин персы'!S:S)</f>
        <v>36</v>
      </c>
      <c r="D4">
        <f t="shared" si="0"/>
        <v>36</v>
      </c>
    </row>
    <row r="5" spans="1:4" x14ac:dyDescent="0.3">
      <c r="A5" s="33" t="s">
        <v>312</v>
      </c>
      <c r="B5">
        <v>3</v>
      </c>
      <c r="C5">
        <f>SUMIF('геншин персы'!T:T,A5,'геншин персы'!S:S)</f>
        <v>54</v>
      </c>
      <c r="D5">
        <f t="shared" si="0"/>
        <v>51</v>
      </c>
    </row>
    <row r="6" spans="1:4" x14ac:dyDescent="0.3">
      <c r="A6" s="33" t="s">
        <v>306</v>
      </c>
      <c r="B6">
        <v>4</v>
      </c>
      <c r="C6">
        <f>SUMIF('геншин персы'!T:T,A6,'геншин персы'!S:S)</f>
        <v>40</v>
      </c>
      <c r="D6">
        <f t="shared" si="0"/>
        <v>36</v>
      </c>
    </row>
    <row r="7" spans="1:4" ht="28.8" x14ac:dyDescent="0.3">
      <c r="A7" s="33" t="s">
        <v>300</v>
      </c>
      <c r="B7">
        <v>3</v>
      </c>
      <c r="C7">
        <f>SUMIF('геншин персы'!T:T,A7,'геншин персы'!S:S)</f>
        <v>54</v>
      </c>
      <c r="D7">
        <f t="shared" si="0"/>
        <v>51</v>
      </c>
    </row>
    <row r="8" spans="1:4" x14ac:dyDescent="0.3">
      <c r="A8" s="33" t="s">
        <v>321</v>
      </c>
      <c r="B8">
        <v>1</v>
      </c>
      <c r="C8">
        <f>SUMIF('геншин персы'!T:T,A8,'геншин персы'!S:S)</f>
        <v>54</v>
      </c>
      <c r="D8">
        <f t="shared" si="0"/>
        <v>53</v>
      </c>
    </row>
    <row r="9" spans="1:4" x14ac:dyDescent="0.3">
      <c r="A9" s="33" t="s">
        <v>313</v>
      </c>
      <c r="B9">
        <v>15</v>
      </c>
      <c r="C9">
        <f>SUMIF('геншин персы'!T:T,A9,'геншин персы'!S:S)</f>
        <v>54</v>
      </c>
      <c r="D9">
        <f t="shared" si="0"/>
        <v>39</v>
      </c>
    </row>
    <row r="10" spans="1:4" x14ac:dyDescent="0.3">
      <c r="A10" s="33" t="s">
        <v>318</v>
      </c>
      <c r="B10">
        <v>0</v>
      </c>
      <c r="C10">
        <f>SUMIF('геншин персы'!T:T,A10,'геншин персы'!S:S)</f>
        <v>48</v>
      </c>
      <c r="D10">
        <f t="shared" si="0"/>
        <v>48</v>
      </c>
    </row>
    <row r="11" spans="1:4" x14ac:dyDescent="0.3">
      <c r="A11" s="33" t="s">
        <v>303</v>
      </c>
      <c r="B11">
        <v>0</v>
      </c>
      <c r="C11">
        <f>SUMIF('геншин персы'!T:T,A11,'геншин персы'!S:S)</f>
        <v>54</v>
      </c>
      <c r="D11">
        <f t="shared" si="0"/>
        <v>54</v>
      </c>
    </row>
    <row r="12" spans="1:4" x14ac:dyDescent="0.3">
      <c r="A12" s="33" t="s">
        <v>310</v>
      </c>
      <c r="B12">
        <v>2</v>
      </c>
      <c r="C12">
        <f>SUMIF('геншин персы'!T:T,A12,'геншин персы'!S:S)</f>
        <v>49</v>
      </c>
      <c r="D12">
        <f t="shared" si="0"/>
        <v>47</v>
      </c>
    </row>
    <row r="13" spans="1:4" x14ac:dyDescent="0.3">
      <c r="A13" s="33" t="s">
        <v>311</v>
      </c>
      <c r="B13">
        <v>0</v>
      </c>
      <c r="C13">
        <f>SUMIF('геншин персы'!T:T,A13,'геншин персы'!S:S)</f>
        <v>50</v>
      </c>
      <c r="D13">
        <f t="shared" si="0"/>
        <v>50</v>
      </c>
    </row>
    <row r="14" spans="1:4" x14ac:dyDescent="0.3">
      <c r="A14" s="33" t="s">
        <v>309</v>
      </c>
      <c r="B14">
        <v>2</v>
      </c>
      <c r="C14">
        <f>SUMIF('геншин персы'!T:T,A14,'геншин персы'!S:S)</f>
        <v>54</v>
      </c>
      <c r="D14">
        <f t="shared" si="0"/>
        <v>52</v>
      </c>
    </row>
    <row r="15" spans="1:4" x14ac:dyDescent="0.3">
      <c r="A15" s="33" t="s">
        <v>292</v>
      </c>
      <c r="B15">
        <v>0</v>
      </c>
      <c r="C15">
        <f>SUMIF('геншин персы'!T:T,A15,'геншин персы'!S:S)</f>
        <v>18</v>
      </c>
      <c r="D15">
        <f t="shared" si="0"/>
        <v>18</v>
      </c>
    </row>
    <row r="16" spans="1:4" x14ac:dyDescent="0.3">
      <c r="A16" s="33" t="s">
        <v>320</v>
      </c>
      <c r="B16">
        <v>0</v>
      </c>
      <c r="C16">
        <f>SUMIF('геншин персы'!T:T,A16,'геншин персы'!S:S)</f>
        <v>64</v>
      </c>
      <c r="D16">
        <f t="shared" si="0"/>
        <v>64</v>
      </c>
    </row>
    <row r="17" spans="1:4" x14ac:dyDescent="0.3">
      <c r="A17" s="33" t="s">
        <v>298</v>
      </c>
      <c r="B17">
        <v>0</v>
      </c>
      <c r="C17">
        <f>SUMIF('геншин персы'!T:T,A17,'геншин персы'!S:S)</f>
        <v>66</v>
      </c>
      <c r="D17">
        <f t="shared" si="0"/>
        <v>66</v>
      </c>
    </row>
    <row r="18" spans="1:4" x14ac:dyDescent="0.3">
      <c r="A18" s="33" t="s">
        <v>307</v>
      </c>
      <c r="B18">
        <v>6</v>
      </c>
      <c r="C18">
        <f>SUMIF('геншин персы'!T:T,A18,'геншин персы'!S:S)</f>
        <v>50</v>
      </c>
      <c r="D18">
        <f t="shared" si="0"/>
        <v>44</v>
      </c>
    </row>
    <row r="19" spans="1:4" x14ac:dyDescent="0.3">
      <c r="A19" s="33" t="s">
        <v>299</v>
      </c>
      <c r="B19">
        <v>1</v>
      </c>
      <c r="C19">
        <f>SUMIF('геншин персы'!T:T,A19,'геншин персы'!S:S)</f>
        <v>50</v>
      </c>
      <c r="D19">
        <f t="shared" si="0"/>
        <v>49</v>
      </c>
    </row>
    <row r="20" spans="1:4" x14ac:dyDescent="0.3">
      <c r="A20" s="33" t="s">
        <v>295</v>
      </c>
      <c r="B20">
        <v>0</v>
      </c>
      <c r="C20">
        <f>SUMIF('геншин персы'!T:T,A20,'геншин персы'!S:S)</f>
        <v>54</v>
      </c>
      <c r="D20">
        <f t="shared" si="0"/>
        <v>54</v>
      </c>
    </row>
    <row r="21" spans="1:4" x14ac:dyDescent="0.3">
      <c r="A21" s="33" t="s">
        <v>297</v>
      </c>
      <c r="B21">
        <v>0</v>
      </c>
      <c r="C21">
        <f>SUMIF('геншин персы'!T:T,A21,'геншин персы'!S:S)</f>
        <v>54</v>
      </c>
      <c r="D21">
        <f t="shared" si="0"/>
        <v>54</v>
      </c>
    </row>
    <row r="22" spans="1:4" ht="28.8" x14ac:dyDescent="0.3">
      <c r="A22" s="33" t="s">
        <v>305</v>
      </c>
      <c r="B22">
        <v>7</v>
      </c>
      <c r="C22">
        <f>SUMIF('геншин персы'!T:T,A22,'геншин персы'!S:S)</f>
        <v>72</v>
      </c>
      <c r="D22">
        <f t="shared" si="0"/>
        <v>65</v>
      </c>
    </row>
    <row r="23" spans="1:4" x14ac:dyDescent="0.3">
      <c r="A23" s="33" t="s">
        <v>316</v>
      </c>
      <c r="B23">
        <v>1</v>
      </c>
      <c r="C23">
        <f>SUMIF('геншин персы'!T:T,A23,'геншин персы'!S:S)</f>
        <v>88</v>
      </c>
      <c r="D23">
        <f t="shared" si="0"/>
        <v>87</v>
      </c>
    </row>
    <row r="24" spans="1:4" x14ac:dyDescent="0.3">
      <c r="A24" s="33" t="s">
        <v>308</v>
      </c>
      <c r="B24">
        <v>2</v>
      </c>
      <c r="C24">
        <f>SUMIF('геншин персы'!T:T,A24,'геншин персы'!S:S)</f>
        <v>44</v>
      </c>
      <c r="D24">
        <f t="shared" si="0"/>
        <v>42</v>
      </c>
    </row>
    <row r="25" spans="1:4" x14ac:dyDescent="0.3">
      <c r="A25" s="33" t="s">
        <v>296</v>
      </c>
      <c r="B25">
        <v>0</v>
      </c>
      <c r="C25">
        <f>SUMIF('геншин персы'!T:T,A25,'геншин персы'!S:S)</f>
        <v>54</v>
      </c>
      <c r="D25">
        <f t="shared" si="0"/>
        <v>54</v>
      </c>
    </row>
    <row r="26" spans="1:4" x14ac:dyDescent="0.3">
      <c r="A26" s="33" t="s">
        <v>301</v>
      </c>
      <c r="B26">
        <v>3</v>
      </c>
      <c r="C26">
        <f>SUMIF('геншин персы'!T:T,A26,'геншин персы'!S:S)</f>
        <v>51</v>
      </c>
      <c r="D26">
        <f t="shared" si="0"/>
        <v>48</v>
      </c>
    </row>
    <row r="27" spans="1:4" x14ac:dyDescent="0.3">
      <c r="A27" s="33" t="s">
        <v>314</v>
      </c>
      <c r="B27">
        <v>11</v>
      </c>
      <c r="C27">
        <f>SUMIF('геншин персы'!T:T,A27,'геншин персы'!S:S)</f>
        <v>51</v>
      </c>
      <c r="D27">
        <f t="shared" si="0"/>
        <v>40</v>
      </c>
    </row>
    <row r="28" spans="1:4" x14ac:dyDescent="0.3">
      <c r="A28" s="33" t="s">
        <v>304</v>
      </c>
      <c r="B28">
        <v>5</v>
      </c>
      <c r="C28">
        <f>SUMIF('геншин персы'!T:T,A28,'геншин персы'!S:S)</f>
        <v>50</v>
      </c>
      <c r="D28">
        <f t="shared" si="0"/>
        <v>45</v>
      </c>
    </row>
    <row r="29" spans="1:4" x14ac:dyDescent="0.3">
      <c r="A29" s="33" t="s">
        <v>293</v>
      </c>
      <c r="B29">
        <v>0</v>
      </c>
      <c r="C29">
        <f>SUMIF('геншин персы'!T:T,A29,'геншин персы'!S:S)</f>
        <v>18</v>
      </c>
      <c r="D29">
        <f t="shared" si="0"/>
        <v>18</v>
      </c>
    </row>
    <row r="30" spans="1:4" x14ac:dyDescent="0.3">
      <c r="A30" s="33" t="s">
        <v>319</v>
      </c>
      <c r="B30">
        <v>1</v>
      </c>
      <c r="C30">
        <f>SUMIF('геншин персы'!T:T,A30,'геншин персы'!S:S)</f>
        <v>62</v>
      </c>
      <c r="D30">
        <f t="shared" si="0"/>
        <v>61</v>
      </c>
    </row>
    <row r="31" spans="1:4" x14ac:dyDescent="0.3">
      <c r="A31" s="33" t="s">
        <v>317</v>
      </c>
      <c r="B31">
        <v>0</v>
      </c>
      <c r="C31">
        <f>SUMIF('геншин персы'!T:T,A31,'геншин персы'!S:S)</f>
        <v>68</v>
      </c>
      <c r="D31">
        <f t="shared" si="0"/>
        <v>68</v>
      </c>
    </row>
    <row r="32" spans="1: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1131-0D61-4B2A-8E6F-7A64A4D0D955}">
  <dimension ref="A1:D100"/>
  <sheetViews>
    <sheetView workbookViewId="0">
      <selection activeCell="E2" sqref="E2"/>
    </sheetView>
  </sheetViews>
  <sheetFormatPr defaultRowHeight="14.4" x14ac:dyDescent="0.3"/>
  <cols>
    <col min="1" max="1" width="30.5546875" style="25" bestFit="1" customWidth="1"/>
    <col min="2" max="2" width="9" bestFit="1" customWidth="1"/>
  </cols>
  <sheetData>
    <row r="1" spans="1:4" x14ac:dyDescent="0.3">
      <c r="A1" s="25" t="s">
        <v>176</v>
      </c>
      <c r="B1" s="26" t="s">
        <v>245</v>
      </c>
      <c r="C1" s="26" t="s">
        <v>246</v>
      </c>
      <c r="D1" s="26" t="s">
        <v>247</v>
      </c>
    </row>
    <row r="2" spans="1:4" x14ac:dyDescent="0.3">
      <c r="A2" s="25" t="s">
        <v>277</v>
      </c>
      <c r="B2" s="26">
        <v>12</v>
      </c>
      <c r="C2" s="26">
        <f>SUMIF('геншин персы'!N:N,A2,'геншин персы'!M:M)</f>
        <v>20</v>
      </c>
      <c r="D2" s="26">
        <f t="shared" ref="D2:D35" si="0">IF(C2-B2&lt;0,0,C2-B2)</f>
        <v>8</v>
      </c>
    </row>
    <row r="3" spans="1:4" x14ac:dyDescent="0.3">
      <c r="A3" s="25" t="s">
        <v>259</v>
      </c>
      <c r="B3" s="26">
        <v>21</v>
      </c>
      <c r="C3" s="26">
        <f>SUMIF('геншин персы'!N:N,A3,'геншин персы'!M:M)</f>
        <v>46</v>
      </c>
      <c r="D3" s="26">
        <f t="shared" si="0"/>
        <v>25</v>
      </c>
    </row>
    <row r="4" spans="1:4" x14ac:dyDescent="0.3">
      <c r="A4" s="25" t="s">
        <v>275</v>
      </c>
      <c r="B4" s="26">
        <v>2</v>
      </c>
      <c r="C4" s="26">
        <f>SUMIF('геншин персы'!N:N,A4,'геншин персы'!M:M)</f>
        <v>40</v>
      </c>
      <c r="D4" s="26">
        <f t="shared" si="0"/>
        <v>38</v>
      </c>
    </row>
    <row r="5" spans="1:4" x14ac:dyDescent="0.3">
      <c r="A5" s="25" t="s">
        <v>278</v>
      </c>
      <c r="B5" s="26">
        <v>1</v>
      </c>
      <c r="C5" s="26">
        <f>SUMIF('геншин персы'!N:N,A5,'геншин персы'!M:M)</f>
        <v>40</v>
      </c>
      <c r="D5" s="26">
        <f t="shared" si="0"/>
        <v>39</v>
      </c>
    </row>
    <row r="6" spans="1:4" x14ac:dyDescent="0.3">
      <c r="A6" s="25" t="s">
        <v>265</v>
      </c>
      <c r="B6" s="26">
        <v>2</v>
      </c>
      <c r="C6" s="26">
        <f>SUMIF('геншин персы'!N:N,A6,'геншин персы'!M:M)</f>
        <v>46</v>
      </c>
      <c r="D6" s="26">
        <f t="shared" si="0"/>
        <v>44</v>
      </c>
    </row>
    <row r="7" spans="1:4" x14ac:dyDescent="0.3">
      <c r="A7" s="25" t="s">
        <v>274</v>
      </c>
      <c r="B7" s="26">
        <v>1</v>
      </c>
      <c r="C7" s="26">
        <f>SUMIF('геншин персы'!N:N,A7,'геншин персы'!M:M)</f>
        <v>46</v>
      </c>
      <c r="D7" s="26">
        <f t="shared" si="0"/>
        <v>45</v>
      </c>
    </row>
    <row r="8" spans="1:4" x14ac:dyDescent="0.3">
      <c r="A8" s="25" t="s">
        <v>272</v>
      </c>
      <c r="B8" s="26">
        <v>0</v>
      </c>
      <c r="C8" s="26">
        <f>SUMIF('геншин персы'!N:N,A8,'геншин персы'!M:M)</f>
        <v>46</v>
      </c>
      <c r="D8" s="26">
        <f t="shared" si="0"/>
        <v>46</v>
      </c>
    </row>
    <row r="9" spans="1:4" ht="28.8" x14ac:dyDescent="0.3">
      <c r="A9" s="25" t="s">
        <v>254</v>
      </c>
      <c r="B9" s="26">
        <v>0</v>
      </c>
      <c r="C9" s="26">
        <f>SUMIF('геншин персы'!N:N,A9,'геншин персы'!M:M)</f>
        <v>46</v>
      </c>
      <c r="D9" s="26">
        <f t="shared" si="0"/>
        <v>46</v>
      </c>
    </row>
    <row r="10" spans="1:4" ht="28.8" x14ac:dyDescent="0.3">
      <c r="A10" s="25" t="s">
        <v>253</v>
      </c>
      <c r="B10" s="26">
        <v>0</v>
      </c>
      <c r="C10" s="26">
        <f>SUMIF('геншин персы'!N:N,A10,'геншин персы'!M:M)</f>
        <v>46</v>
      </c>
      <c r="D10" s="26">
        <f t="shared" si="0"/>
        <v>46</v>
      </c>
    </row>
    <row r="11" spans="1:4" x14ac:dyDescent="0.3">
      <c r="A11" s="25" t="s">
        <v>282</v>
      </c>
      <c r="B11" s="26">
        <v>11</v>
      </c>
      <c r="C11" s="26">
        <f>SUMIF('геншин персы'!N:N,A11,'геншин персы'!M:M)</f>
        <v>72</v>
      </c>
      <c r="D11" s="26">
        <f t="shared" si="0"/>
        <v>61</v>
      </c>
    </row>
    <row r="12" spans="1:4" x14ac:dyDescent="0.3">
      <c r="A12" s="25" t="s">
        <v>269</v>
      </c>
      <c r="B12" s="26">
        <v>2</v>
      </c>
      <c r="C12" s="26">
        <f>SUMIF('геншин персы'!N:N,A12,'геншин персы'!M:M)</f>
        <v>80</v>
      </c>
      <c r="D12" s="26">
        <f t="shared" si="0"/>
        <v>78</v>
      </c>
    </row>
    <row r="13" spans="1:4" x14ac:dyDescent="0.3">
      <c r="A13" s="25" t="s">
        <v>276</v>
      </c>
      <c r="B13" s="26">
        <v>7</v>
      </c>
      <c r="C13" s="26">
        <f>SUMIF('геншин персы'!N:N,A13,'геншин персы'!M:M)</f>
        <v>86</v>
      </c>
      <c r="D13" s="26">
        <f t="shared" si="0"/>
        <v>79</v>
      </c>
    </row>
    <row r="14" spans="1:4" x14ac:dyDescent="0.3">
      <c r="A14" s="25" t="s">
        <v>273</v>
      </c>
      <c r="B14" s="26">
        <v>5</v>
      </c>
      <c r="C14" s="26">
        <f>SUMIF('геншин персы'!N:N,A14,'геншин персы'!M:M)</f>
        <v>86</v>
      </c>
      <c r="D14" s="26">
        <f t="shared" si="0"/>
        <v>81</v>
      </c>
    </row>
    <row r="15" spans="1:4" x14ac:dyDescent="0.3">
      <c r="A15" s="25" t="s">
        <v>279</v>
      </c>
      <c r="B15" s="26">
        <v>3</v>
      </c>
      <c r="C15" s="26">
        <f>SUMIF('геншин персы'!N:N,A15,'геншин персы'!M:M)</f>
        <v>86</v>
      </c>
      <c r="D15" s="26">
        <f t="shared" si="0"/>
        <v>83</v>
      </c>
    </row>
    <row r="16" spans="1:4" x14ac:dyDescent="0.3">
      <c r="A16" s="25" t="s">
        <v>270</v>
      </c>
      <c r="B16" s="26">
        <v>0</v>
      </c>
      <c r="C16" s="26">
        <f>SUMIF('геншин персы'!N:N,A16,'геншин персы'!M:M)</f>
        <v>86</v>
      </c>
      <c r="D16" s="26">
        <f t="shared" si="0"/>
        <v>86</v>
      </c>
    </row>
    <row r="17" spans="1:4" x14ac:dyDescent="0.3">
      <c r="A17" s="25" t="s">
        <v>286</v>
      </c>
      <c r="B17" s="26">
        <v>0</v>
      </c>
      <c r="C17" s="26">
        <f>SUMIF('геншин персы'!N:N,A17,'геншин персы'!M:M)</f>
        <v>86</v>
      </c>
      <c r="D17" s="26">
        <f t="shared" si="0"/>
        <v>86</v>
      </c>
    </row>
    <row r="18" spans="1:4" x14ac:dyDescent="0.3">
      <c r="A18" s="25" t="s">
        <v>261</v>
      </c>
      <c r="B18" s="26">
        <v>5</v>
      </c>
      <c r="C18" s="26">
        <f>SUMIF('геншин персы'!N:N,A18,'геншин персы'!M:M)</f>
        <v>92</v>
      </c>
      <c r="D18" s="26">
        <f t="shared" si="0"/>
        <v>87</v>
      </c>
    </row>
    <row r="19" spans="1:4" x14ac:dyDescent="0.3">
      <c r="A19" s="25" t="s">
        <v>258</v>
      </c>
      <c r="B19" s="26">
        <v>1</v>
      </c>
      <c r="C19" s="26">
        <f>SUMIF('геншин персы'!N:N,A19,'геншин персы'!M:M)</f>
        <v>90</v>
      </c>
      <c r="D19" s="26">
        <f t="shared" si="0"/>
        <v>89</v>
      </c>
    </row>
    <row r="20" spans="1:4" x14ac:dyDescent="0.3">
      <c r="A20" s="25" t="s">
        <v>257</v>
      </c>
      <c r="B20" s="26">
        <v>3</v>
      </c>
      <c r="C20" s="26">
        <f>SUMIF('геншин персы'!N:N,A20,'геншин персы'!M:M)</f>
        <v>92</v>
      </c>
      <c r="D20" s="26">
        <f t="shared" si="0"/>
        <v>89</v>
      </c>
    </row>
    <row r="21" spans="1:4" x14ac:dyDescent="0.3">
      <c r="A21" s="25" t="s">
        <v>264</v>
      </c>
      <c r="B21" s="26">
        <v>2</v>
      </c>
      <c r="C21" s="26">
        <f>SUMIF('геншин персы'!N:N,A21,'геншин персы'!M:M)</f>
        <v>92</v>
      </c>
      <c r="D21" s="26">
        <f t="shared" si="0"/>
        <v>90</v>
      </c>
    </row>
    <row r="22" spans="1:4" x14ac:dyDescent="0.3">
      <c r="A22" s="25" t="s">
        <v>260</v>
      </c>
      <c r="B22" s="26">
        <v>1</v>
      </c>
      <c r="C22" s="26">
        <f>SUMIF('геншин персы'!N:N,A22,'геншин персы'!M:M)</f>
        <v>92</v>
      </c>
      <c r="D22" s="26">
        <f t="shared" si="0"/>
        <v>91</v>
      </c>
    </row>
    <row r="23" spans="1:4" ht="28.8" x14ac:dyDescent="0.3">
      <c r="A23" s="25" t="s">
        <v>262</v>
      </c>
      <c r="B23" s="26">
        <v>0</v>
      </c>
      <c r="C23" s="26">
        <f>SUMIF('геншин персы'!N:N,A23,'геншин персы'!M:M)</f>
        <v>92</v>
      </c>
      <c r="D23" s="26">
        <f t="shared" si="0"/>
        <v>92</v>
      </c>
    </row>
    <row r="24" spans="1:4" ht="28.8" x14ac:dyDescent="0.3">
      <c r="A24" s="25" t="s">
        <v>263</v>
      </c>
      <c r="B24" s="26">
        <v>0</v>
      </c>
      <c r="C24" s="26">
        <f>SUMIF('геншин персы'!N:N,A24,'геншин персы'!M:M)</f>
        <v>92</v>
      </c>
      <c r="D24" s="26">
        <f t="shared" si="0"/>
        <v>92</v>
      </c>
    </row>
    <row r="25" spans="1:4" x14ac:dyDescent="0.3">
      <c r="A25" s="25" t="s">
        <v>255</v>
      </c>
      <c r="B25" s="26">
        <v>0</v>
      </c>
      <c r="C25" s="26">
        <f>SUMIF('геншин персы'!N:N,A25,'геншин персы'!M:M)</f>
        <v>92</v>
      </c>
      <c r="D25" s="26">
        <f t="shared" si="0"/>
        <v>92</v>
      </c>
    </row>
    <row r="26" spans="1:4" x14ac:dyDescent="0.3">
      <c r="A26" s="25" t="s">
        <v>256</v>
      </c>
      <c r="B26" s="26">
        <v>0</v>
      </c>
      <c r="C26" s="26">
        <f>SUMIF('геншин персы'!N:N,A26,'геншин персы'!M:M)</f>
        <v>92</v>
      </c>
      <c r="D26" s="26">
        <f t="shared" si="0"/>
        <v>92</v>
      </c>
    </row>
    <row r="27" spans="1:4" x14ac:dyDescent="0.3">
      <c r="A27" s="25" t="s">
        <v>267</v>
      </c>
      <c r="B27" s="26">
        <v>2</v>
      </c>
      <c r="C27" s="26">
        <f>SUMIF('геншин персы'!N:N,A27,'геншин персы'!M:M)</f>
        <v>98</v>
      </c>
      <c r="D27" s="26">
        <f t="shared" si="0"/>
        <v>96</v>
      </c>
    </row>
    <row r="28" spans="1:4" x14ac:dyDescent="0.3">
      <c r="A28" s="25" t="s">
        <v>271</v>
      </c>
      <c r="B28" s="26">
        <v>2</v>
      </c>
      <c r="C28" s="26">
        <f>SUMIF('геншин персы'!N:N,A28,'геншин персы'!M:M)</f>
        <v>106</v>
      </c>
      <c r="D28" s="26">
        <f t="shared" si="0"/>
        <v>104</v>
      </c>
    </row>
    <row r="29" spans="1:4" x14ac:dyDescent="0.3">
      <c r="A29" s="25" t="s">
        <v>266</v>
      </c>
      <c r="B29" s="26">
        <v>0</v>
      </c>
      <c r="C29" s="26">
        <f>SUMIF('геншин персы'!N:N,A29,'геншин персы'!M:M)</f>
        <v>112</v>
      </c>
      <c r="D29" s="26">
        <f t="shared" si="0"/>
        <v>112</v>
      </c>
    </row>
    <row r="30" spans="1:4" x14ac:dyDescent="0.3">
      <c r="A30" s="25" t="s">
        <v>281</v>
      </c>
      <c r="B30" s="26">
        <v>4</v>
      </c>
      <c r="C30" s="26">
        <f>SUMIF('геншин персы'!N:N,A30,'геншин персы'!M:M)</f>
        <v>120</v>
      </c>
      <c r="D30" s="26">
        <f t="shared" si="0"/>
        <v>116</v>
      </c>
    </row>
    <row r="31" spans="1:4" x14ac:dyDescent="0.3">
      <c r="A31" s="25" t="s">
        <v>284</v>
      </c>
      <c r="B31" s="26">
        <v>1</v>
      </c>
      <c r="C31" s="26">
        <f>SUMIF('геншин персы'!N:N,A31,'геншин персы'!M:M)</f>
        <v>120</v>
      </c>
      <c r="D31" s="26">
        <f t="shared" si="0"/>
        <v>119</v>
      </c>
    </row>
    <row r="32" spans="1:4" x14ac:dyDescent="0.3">
      <c r="A32" s="25" t="s">
        <v>268</v>
      </c>
      <c r="B32" s="26">
        <v>1</v>
      </c>
      <c r="C32" s="26">
        <f>SUMIF('геншин персы'!N:N,A32,'геншин персы'!M:M)</f>
        <v>122</v>
      </c>
      <c r="D32" s="26">
        <f t="shared" si="0"/>
        <v>121</v>
      </c>
    </row>
    <row r="33" spans="1:4" x14ac:dyDescent="0.3">
      <c r="A33" s="25" t="s">
        <v>283</v>
      </c>
      <c r="B33" s="26">
        <v>0</v>
      </c>
      <c r="C33" s="26">
        <f>SUMIF('геншин персы'!N:N,A33,'геншин персы'!M:M)</f>
        <v>126</v>
      </c>
      <c r="D33" s="26">
        <f t="shared" si="0"/>
        <v>126</v>
      </c>
    </row>
    <row r="34" spans="1:4" x14ac:dyDescent="0.3">
      <c r="A34" s="25" t="s">
        <v>280</v>
      </c>
      <c r="B34" s="26">
        <v>3</v>
      </c>
      <c r="C34" s="26">
        <f>SUMIF('геншин персы'!N:N,A34,'геншин персы'!M:M)</f>
        <v>132</v>
      </c>
      <c r="D34" s="26">
        <f t="shared" si="0"/>
        <v>129</v>
      </c>
    </row>
    <row r="35" spans="1:4" x14ac:dyDescent="0.3">
      <c r="A35" s="25" t="s">
        <v>285</v>
      </c>
      <c r="B35" s="26">
        <v>6</v>
      </c>
      <c r="C35" s="26">
        <f>SUMIF('геншин персы'!N:N,A35,'геншин персы'!M:M)</f>
        <v>190</v>
      </c>
      <c r="D35" s="26">
        <f t="shared" si="0"/>
        <v>184</v>
      </c>
    </row>
    <row r="37" spans="1:4" x14ac:dyDescent="0.3">
      <c r="A37"/>
    </row>
    <row r="38" spans="1:4" x14ac:dyDescent="0.3">
      <c r="A38"/>
    </row>
    <row r="39" spans="1:4" x14ac:dyDescent="0.3">
      <c r="A39"/>
    </row>
    <row r="40" spans="1:4" x14ac:dyDescent="0.3">
      <c r="A40"/>
    </row>
    <row r="41" spans="1:4" x14ac:dyDescent="0.3">
      <c r="A41"/>
    </row>
    <row r="42" spans="1:4" x14ac:dyDescent="0.3">
      <c r="A42"/>
    </row>
    <row r="43" spans="1:4" x14ac:dyDescent="0.3">
      <c r="A43"/>
    </row>
    <row r="44" spans="1:4" x14ac:dyDescent="0.3">
      <c r="A44"/>
    </row>
    <row r="45" spans="1:4" x14ac:dyDescent="0.3">
      <c r="A45"/>
    </row>
    <row r="46" spans="1:4" x14ac:dyDescent="0.3">
      <c r="A46"/>
    </row>
    <row r="47" spans="1:4" x14ac:dyDescent="0.3">
      <c r="A47"/>
    </row>
    <row r="48" spans="1:4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</sheetData>
  <autoFilter ref="A1:D35" xr:uid="{781D1131-0D61-4B2A-8E6F-7A64A4D0D955}">
    <sortState xmlns:xlrd2="http://schemas.microsoft.com/office/spreadsheetml/2017/richdata2" ref="A2:D35">
      <sortCondition ref="D1:D35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A6BC-480B-4DA9-90CB-6E1754608B9B}">
  <dimension ref="A1:N103"/>
  <sheetViews>
    <sheetView workbookViewId="0">
      <pane xSplit="1" topLeftCell="C1" activePane="topRight" state="frozen"/>
      <selection pane="topRight" activeCell="K12" sqref="K12"/>
    </sheetView>
  </sheetViews>
  <sheetFormatPr defaultRowHeight="14.4" x14ac:dyDescent="0.3"/>
  <cols>
    <col min="1" max="1" width="16.21875" style="26" customWidth="1"/>
  </cols>
  <sheetData>
    <row r="1" spans="1:14" x14ac:dyDescent="0.3">
      <c r="A1" s="11" t="s">
        <v>184</v>
      </c>
      <c r="B1" s="26" t="s">
        <v>245</v>
      </c>
      <c r="C1" s="26" t="s">
        <v>246</v>
      </c>
      <c r="D1" s="26" t="s">
        <v>247</v>
      </c>
      <c r="E1" s="26" t="s">
        <v>365</v>
      </c>
      <c r="F1" s="26" t="s">
        <v>245</v>
      </c>
      <c r="G1" s="26" t="s">
        <v>366</v>
      </c>
      <c r="H1" s="26" t="s">
        <v>246</v>
      </c>
      <c r="I1" s="26" t="s">
        <v>247</v>
      </c>
      <c r="J1" s="26" t="s">
        <v>365</v>
      </c>
      <c r="K1" s="26" t="s">
        <v>245</v>
      </c>
      <c r="L1" s="26" t="s">
        <v>366</v>
      </c>
      <c r="M1" s="26" t="s">
        <v>246</v>
      </c>
      <c r="N1" s="26" t="s">
        <v>247</v>
      </c>
    </row>
    <row r="2" spans="1:14" x14ac:dyDescent="0.3">
      <c r="A2" s="12" t="s">
        <v>346</v>
      </c>
      <c r="B2" s="26">
        <v>31</v>
      </c>
      <c r="C2" s="26">
        <f>SUMIF('геншин персы'!Y:Y,A2,'геншин персы'!X:X)</f>
        <v>27</v>
      </c>
      <c r="D2" s="26">
        <f>IF(C2-B2&lt;0,0,C2-B2)</f>
        <v>0</v>
      </c>
      <c r="E2" s="26">
        <f>IF(D2=0,B2-C2,0)</f>
        <v>4</v>
      </c>
      <c r="F2" s="26">
        <v>11</v>
      </c>
      <c r="G2" s="26">
        <f>F2+ROUNDDOWN(E2/3,0)</f>
        <v>12</v>
      </c>
      <c r="H2" s="26">
        <f>SUMIF('геншин персы'!Y:Y,A2,'геншин персы'!W:W)</f>
        <v>189</v>
      </c>
      <c r="I2" s="26">
        <f>IF(H2-G2&lt;0,0,H2-G2)</f>
        <v>177</v>
      </c>
      <c r="J2" s="26">
        <f>IF(I2=0,F2-H2,0)</f>
        <v>0</v>
      </c>
      <c r="K2" s="26">
        <v>0</v>
      </c>
      <c r="L2" s="26">
        <f>K2+ROUNDDOWN(J2/3,0)</f>
        <v>0</v>
      </c>
      <c r="M2" s="26">
        <f>SUMIF('геншин персы'!Y:Y,A2,'геншин персы'!V:V)</f>
        <v>418</v>
      </c>
      <c r="N2" s="26">
        <f>IF(M2-L2&lt;0,0,M2-L2)</f>
        <v>418</v>
      </c>
    </row>
    <row r="3" spans="1:14" x14ac:dyDescent="0.3">
      <c r="A3" s="12" t="s">
        <v>325</v>
      </c>
      <c r="B3" s="26">
        <v>0</v>
      </c>
      <c r="C3" s="26">
        <f>SUMIF('геншин персы'!Y:Y,A3,'геншин персы'!X:X)</f>
        <v>36</v>
      </c>
      <c r="D3" s="26">
        <f t="shared" ref="D3:D15" si="0">IF(C3-B3&lt;0,0,C3-B3)</f>
        <v>36</v>
      </c>
      <c r="E3" s="26">
        <f t="shared" ref="E3:E15" si="1">IF(D3=0,B3-C3,0)</f>
        <v>0</v>
      </c>
      <c r="F3" s="26">
        <v>16</v>
      </c>
      <c r="G3" s="26">
        <f t="shared" ref="G3:G15" si="2">F3+ROUNDDOWN(E3/3,0)</f>
        <v>16</v>
      </c>
      <c r="H3" s="26">
        <f>SUMIF('геншин персы'!Y:Y,A3,'геншин персы'!W:W)</f>
        <v>381</v>
      </c>
      <c r="I3" s="26">
        <f t="shared" ref="I3:I19" si="3">IF(H3-G3&lt;0,0,H3-G3)</f>
        <v>365</v>
      </c>
      <c r="J3" s="26">
        <f t="shared" ref="J3:J15" si="4">IF(I3=0,F3-H3,0)</f>
        <v>0</v>
      </c>
      <c r="K3" s="26">
        <v>17</v>
      </c>
      <c r="L3" s="26">
        <f t="shared" ref="L3:L15" si="5">K3+ROUNDDOWN(J3/3,0)</f>
        <v>17</v>
      </c>
      <c r="M3" s="26">
        <f>SUMIF('геншин персы'!Y:Y,A3,'геншин персы'!V:V)</f>
        <v>738</v>
      </c>
      <c r="N3" s="26">
        <f t="shared" ref="N3:N19" si="6">IF(M3-L3&lt;0,0,M3-L3)</f>
        <v>721</v>
      </c>
    </row>
    <row r="4" spans="1:14" x14ac:dyDescent="0.3">
      <c r="A4" s="12" t="s">
        <v>338</v>
      </c>
      <c r="B4" s="26">
        <v>7</v>
      </c>
      <c r="C4" s="26">
        <f>SUMIF('геншин персы'!Y:Y,A4,'геншин персы'!X:X)</f>
        <v>30</v>
      </c>
      <c r="D4" s="26">
        <f t="shared" si="0"/>
        <v>23</v>
      </c>
      <c r="E4" s="26">
        <f t="shared" si="1"/>
        <v>0</v>
      </c>
      <c r="F4" s="26">
        <v>13</v>
      </c>
      <c r="G4" s="26">
        <f t="shared" si="2"/>
        <v>13</v>
      </c>
      <c r="H4" s="26">
        <f>SUMIF('геншин персы'!Y:Y,A4,'геншин персы'!W:W)</f>
        <v>246</v>
      </c>
      <c r="I4" s="26">
        <f t="shared" si="3"/>
        <v>233</v>
      </c>
      <c r="J4" s="26">
        <f t="shared" si="4"/>
        <v>0</v>
      </c>
      <c r="K4" s="26">
        <v>10</v>
      </c>
      <c r="L4" s="26">
        <f t="shared" si="5"/>
        <v>10</v>
      </c>
      <c r="M4" s="26">
        <f>SUMIF('геншин персы'!Y:Y,A4,'геншин персы'!V:V)</f>
        <v>528</v>
      </c>
      <c r="N4" s="26">
        <f t="shared" si="6"/>
        <v>518</v>
      </c>
    </row>
    <row r="5" spans="1:14" x14ac:dyDescent="0.3">
      <c r="A5" s="12" t="s">
        <v>330</v>
      </c>
      <c r="B5" s="26">
        <v>4</v>
      </c>
      <c r="C5" s="26">
        <f>SUMIF('геншин персы'!Y:Y,A5,'геншин персы'!X:X)</f>
        <v>18</v>
      </c>
      <c r="D5" s="26">
        <f t="shared" si="0"/>
        <v>14</v>
      </c>
      <c r="E5" s="26">
        <f t="shared" si="1"/>
        <v>0</v>
      </c>
      <c r="F5" s="26">
        <v>55</v>
      </c>
      <c r="G5" s="26">
        <f t="shared" si="2"/>
        <v>55</v>
      </c>
      <c r="H5" s="26">
        <f>SUMIF('геншин персы'!Y:Y,A5,'геншин персы'!W:W)</f>
        <v>280</v>
      </c>
      <c r="I5" s="26">
        <f t="shared" si="3"/>
        <v>225</v>
      </c>
      <c r="J5" s="26">
        <f t="shared" si="4"/>
        <v>0</v>
      </c>
      <c r="K5" s="26">
        <v>5</v>
      </c>
      <c r="L5" s="26">
        <f t="shared" si="5"/>
        <v>5</v>
      </c>
      <c r="M5" s="26">
        <f>SUMIF('геншин персы'!Y:Y,A5,'геншин персы'!V:V)</f>
        <v>766</v>
      </c>
      <c r="N5" s="26">
        <f t="shared" si="6"/>
        <v>761</v>
      </c>
    </row>
    <row r="6" spans="1:14" x14ac:dyDescent="0.3">
      <c r="A6" s="12" t="s">
        <v>339</v>
      </c>
      <c r="B6" s="26">
        <v>2</v>
      </c>
      <c r="C6" s="26">
        <f>SUMIF('геншин персы'!Y:Y,A6,'геншин персы'!X:X)</f>
        <v>27</v>
      </c>
      <c r="D6" s="26">
        <f t="shared" si="0"/>
        <v>25</v>
      </c>
      <c r="E6" s="26">
        <f t="shared" si="1"/>
        <v>0</v>
      </c>
      <c r="F6" s="26">
        <v>16</v>
      </c>
      <c r="G6" s="26">
        <f t="shared" si="2"/>
        <v>16</v>
      </c>
      <c r="H6" s="26">
        <f>SUMIF('геншин персы'!Y:Y,A6,'геншин персы'!W:W)</f>
        <v>240</v>
      </c>
      <c r="I6" s="26">
        <f t="shared" si="3"/>
        <v>224</v>
      </c>
      <c r="J6" s="26">
        <f t="shared" si="4"/>
        <v>0</v>
      </c>
      <c r="K6" s="26">
        <v>4</v>
      </c>
      <c r="L6" s="26">
        <f t="shared" si="5"/>
        <v>4</v>
      </c>
      <c r="M6" s="26">
        <f>SUMIF('геншин персы'!Y:Y,A6,'геншин персы'!V:V)</f>
        <v>500</v>
      </c>
      <c r="N6" s="26">
        <f t="shared" si="6"/>
        <v>496</v>
      </c>
    </row>
    <row r="7" spans="1:14" x14ac:dyDescent="0.3">
      <c r="A7" s="12" t="s">
        <v>341</v>
      </c>
      <c r="B7" s="26">
        <v>63</v>
      </c>
      <c r="C7" s="26">
        <f>SUMIF('геншин персы'!Y:Y,A7,'геншин персы'!X:X)</f>
        <v>24</v>
      </c>
      <c r="D7" s="26">
        <f t="shared" si="0"/>
        <v>0</v>
      </c>
      <c r="E7" s="26">
        <f t="shared" si="1"/>
        <v>39</v>
      </c>
      <c r="F7" s="26">
        <v>66</v>
      </c>
      <c r="G7" s="26">
        <f t="shared" si="2"/>
        <v>79</v>
      </c>
      <c r="H7" s="26">
        <f>SUMIF('геншин персы'!Y:Y,A7,'геншин персы'!W:W)</f>
        <v>234</v>
      </c>
      <c r="I7" s="26">
        <f t="shared" si="3"/>
        <v>155</v>
      </c>
      <c r="J7" s="26">
        <f t="shared" si="4"/>
        <v>0</v>
      </c>
      <c r="K7" s="26">
        <v>21</v>
      </c>
      <c r="L7" s="26">
        <f t="shared" si="5"/>
        <v>21</v>
      </c>
      <c r="M7" s="26">
        <f>SUMIF('геншин персы'!Y:Y,A7,'геншин персы'!V:V)</f>
        <v>456</v>
      </c>
      <c r="N7" s="26">
        <f t="shared" si="6"/>
        <v>435</v>
      </c>
    </row>
    <row r="8" spans="1:14" x14ac:dyDescent="0.3">
      <c r="A8" s="12" t="s">
        <v>342</v>
      </c>
      <c r="B8" s="26">
        <v>65</v>
      </c>
      <c r="C8" s="26">
        <f>SUMIF('геншин персы'!Y:Y,A8,'геншин персы'!X:X)</f>
        <v>33</v>
      </c>
      <c r="D8" s="26">
        <f t="shared" si="0"/>
        <v>0</v>
      </c>
      <c r="E8" s="26">
        <f t="shared" si="1"/>
        <v>32</v>
      </c>
      <c r="F8" s="26">
        <v>26</v>
      </c>
      <c r="G8" s="26">
        <f t="shared" si="2"/>
        <v>36</v>
      </c>
      <c r="H8" s="26">
        <f>SUMIF('геншин персы'!Y:Y,A8,'геншин персы'!W:W)</f>
        <v>231</v>
      </c>
      <c r="I8" s="26">
        <f t="shared" si="3"/>
        <v>195</v>
      </c>
      <c r="J8" s="26">
        <f t="shared" si="4"/>
        <v>0</v>
      </c>
      <c r="K8" s="26">
        <v>5</v>
      </c>
      <c r="L8" s="26">
        <f t="shared" si="5"/>
        <v>5</v>
      </c>
      <c r="M8" s="26">
        <f>SUMIF('геншин персы'!Y:Y,A8,'геншин персы'!V:V)</f>
        <v>490</v>
      </c>
      <c r="N8" s="26">
        <f t="shared" si="6"/>
        <v>485</v>
      </c>
    </row>
    <row r="9" spans="1:14" x14ac:dyDescent="0.3">
      <c r="A9" s="12" t="s">
        <v>345</v>
      </c>
      <c r="B9" s="26">
        <v>7</v>
      </c>
      <c r="C9" s="26">
        <f>SUMIF('геншин персы'!Y:Y,A9,'геншин персы'!X:X)</f>
        <v>39</v>
      </c>
      <c r="D9" s="26">
        <f t="shared" si="0"/>
        <v>32</v>
      </c>
      <c r="E9" s="26">
        <f t="shared" si="1"/>
        <v>0</v>
      </c>
      <c r="F9" s="26">
        <v>23</v>
      </c>
      <c r="G9" s="26">
        <f t="shared" si="2"/>
        <v>23</v>
      </c>
      <c r="H9" s="26">
        <f>SUMIF('геншин персы'!Y:Y,A9,'геншин персы'!W:W)</f>
        <v>273</v>
      </c>
      <c r="I9" s="26">
        <f t="shared" si="3"/>
        <v>250</v>
      </c>
      <c r="J9" s="26">
        <f t="shared" si="4"/>
        <v>0</v>
      </c>
      <c r="K9" s="26">
        <v>3</v>
      </c>
      <c r="L9" s="26">
        <f t="shared" si="5"/>
        <v>3</v>
      </c>
      <c r="M9" s="26">
        <f>SUMIF('геншин персы'!Y:Y,A9,'геншин персы'!V:V)</f>
        <v>550</v>
      </c>
      <c r="N9" s="26">
        <f t="shared" si="6"/>
        <v>547</v>
      </c>
    </row>
    <row r="10" spans="1:14" x14ac:dyDescent="0.3">
      <c r="A10" s="12" t="s">
        <v>327</v>
      </c>
      <c r="B10" s="26">
        <v>1</v>
      </c>
      <c r="C10" s="26">
        <f>SUMIF('геншин персы'!Y:Y,A10,'геншин персы'!X:X)</f>
        <v>33</v>
      </c>
      <c r="D10" s="26">
        <f t="shared" si="0"/>
        <v>32</v>
      </c>
      <c r="E10" s="26">
        <f t="shared" si="1"/>
        <v>0</v>
      </c>
      <c r="F10" s="26">
        <v>42</v>
      </c>
      <c r="G10" s="26">
        <f t="shared" si="2"/>
        <v>42</v>
      </c>
      <c r="H10" s="26">
        <f>SUMIF('геншин персы'!Y:Y,A10,'геншин персы'!W:W)</f>
        <v>375</v>
      </c>
      <c r="I10" s="26">
        <f t="shared" si="3"/>
        <v>333</v>
      </c>
      <c r="J10" s="26">
        <f t="shared" si="4"/>
        <v>0</v>
      </c>
      <c r="K10" s="26">
        <v>13</v>
      </c>
      <c r="L10" s="26">
        <f t="shared" si="5"/>
        <v>13</v>
      </c>
      <c r="M10" s="26">
        <f>SUMIF('геншин персы'!Y:Y,A10,'геншин персы'!V:V)</f>
        <v>750</v>
      </c>
      <c r="N10" s="26">
        <f t="shared" si="6"/>
        <v>737</v>
      </c>
    </row>
    <row r="11" spans="1:14" x14ac:dyDescent="0.3">
      <c r="A11" s="12" t="s">
        <v>347</v>
      </c>
      <c r="B11" s="26">
        <v>7</v>
      </c>
      <c r="C11" s="26">
        <f>SUMIF('геншин персы'!Y:Y,A11,'геншин персы'!X:X)</f>
        <v>9</v>
      </c>
      <c r="D11" s="26">
        <f t="shared" si="0"/>
        <v>2</v>
      </c>
      <c r="E11" s="26">
        <f t="shared" si="1"/>
        <v>0</v>
      </c>
      <c r="F11" s="26">
        <v>15</v>
      </c>
      <c r="G11" s="26">
        <f t="shared" si="2"/>
        <v>15</v>
      </c>
      <c r="H11" s="26">
        <f>SUMIF('геншин персы'!Y:Y,A11,'геншин персы'!W:W)</f>
        <v>63</v>
      </c>
      <c r="I11" s="26">
        <f t="shared" si="3"/>
        <v>48</v>
      </c>
      <c r="J11" s="26">
        <f t="shared" si="4"/>
        <v>0</v>
      </c>
      <c r="K11" s="26">
        <v>2</v>
      </c>
      <c r="L11" s="26">
        <f t="shared" si="5"/>
        <v>2</v>
      </c>
      <c r="M11" s="26">
        <f>SUMIF('геншин персы'!Y:Y,A11,'геншин персы'!V:V)</f>
        <v>114</v>
      </c>
      <c r="N11" s="26">
        <f t="shared" si="6"/>
        <v>112</v>
      </c>
    </row>
    <row r="12" spans="1:14" x14ac:dyDescent="0.3">
      <c r="A12" s="12" t="s">
        <v>328</v>
      </c>
      <c r="B12" s="26">
        <v>76</v>
      </c>
      <c r="C12" s="26">
        <f>SUMIF('геншин персы'!Y:Y,A12,'геншин персы'!X:X)</f>
        <v>30</v>
      </c>
      <c r="D12" s="26">
        <f t="shared" si="0"/>
        <v>0</v>
      </c>
      <c r="E12" s="26">
        <f t="shared" si="1"/>
        <v>46</v>
      </c>
      <c r="F12" s="26">
        <v>63</v>
      </c>
      <c r="G12" s="26">
        <f t="shared" si="2"/>
        <v>78</v>
      </c>
      <c r="H12" s="26">
        <f>SUMIF('геншин персы'!Y:Y,A12,'геншин персы'!W:W)</f>
        <v>340</v>
      </c>
      <c r="I12" s="26">
        <f t="shared" si="3"/>
        <v>262</v>
      </c>
      <c r="J12" s="26">
        <f t="shared" si="4"/>
        <v>0</v>
      </c>
      <c r="K12" s="26">
        <v>4</v>
      </c>
      <c r="L12" s="26">
        <f t="shared" si="5"/>
        <v>4</v>
      </c>
      <c r="M12" s="26">
        <f>SUMIF('геншин персы'!Y:Y,A12,'геншин персы'!V:V)</f>
        <v>784</v>
      </c>
      <c r="N12" s="26">
        <f t="shared" si="6"/>
        <v>780</v>
      </c>
    </row>
    <row r="13" spans="1:14" x14ac:dyDescent="0.3">
      <c r="A13" s="12" t="s">
        <v>340</v>
      </c>
      <c r="B13" s="26">
        <v>4</v>
      </c>
      <c r="C13" s="26">
        <f>SUMIF('геншин персы'!Y:Y,A13,'геншин персы'!X:X)</f>
        <v>21</v>
      </c>
      <c r="D13" s="26">
        <f t="shared" si="0"/>
        <v>17</v>
      </c>
      <c r="E13" s="26">
        <f t="shared" si="1"/>
        <v>0</v>
      </c>
      <c r="F13" s="26">
        <v>15</v>
      </c>
      <c r="G13" s="26">
        <f t="shared" si="2"/>
        <v>15</v>
      </c>
      <c r="H13" s="26">
        <f>SUMIF('геншин персы'!Y:Y,A13,'геншин персы'!W:W)</f>
        <v>240</v>
      </c>
      <c r="I13" s="26">
        <f t="shared" si="3"/>
        <v>225</v>
      </c>
      <c r="J13" s="26">
        <f t="shared" si="4"/>
        <v>0</v>
      </c>
      <c r="K13" s="26">
        <v>6</v>
      </c>
      <c r="L13" s="26">
        <f t="shared" si="5"/>
        <v>6</v>
      </c>
      <c r="M13" s="26">
        <f>SUMIF('геншин персы'!Y:Y,A13,'геншин персы'!V:V)</f>
        <v>488</v>
      </c>
      <c r="N13" s="26">
        <f t="shared" si="6"/>
        <v>482</v>
      </c>
    </row>
    <row r="14" spans="1:14" x14ac:dyDescent="0.3">
      <c r="A14" s="12" t="s">
        <v>324</v>
      </c>
      <c r="B14" s="26">
        <v>4</v>
      </c>
      <c r="C14" s="26">
        <f>SUMIF('геншин персы'!Y:Y,A14,'геншин персы'!X:X)</f>
        <v>30</v>
      </c>
      <c r="D14" s="26">
        <f t="shared" si="0"/>
        <v>26</v>
      </c>
      <c r="E14" s="26">
        <f t="shared" si="1"/>
        <v>0</v>
      </c>
      <c r="F14" s="26">
        <v>28</v>
      </c>
      <c r="G14" s="26">
        <f t="shared" si="2"/>
        <v>28</v>
      </c>
      <c r="H14" s="26">
        <f>SUMIF('геншин персы'!Y:Y,A14,'геншин персы'!W:W)</f>
        <v>307</v>
      </c>
      <c r="I14" s="26">
        <f t="shared" si="3"/>
        <v>279</v>
      </c>
      <c r="J14" s="26">
        <f t="shared" si="4"/>
        <v>0</v>
      </c>
      <c r="K14" s="26">
        <v>9</v>
      </c>
      <c r="L14" s="26">
        <f t="shared" si="5"/>
        <v>9</v>
      </c>
      <c r="M14" s="26">
        <f>SUMIF('геншин персы'!Y:Y,A14,'геншин персы'!V:V)</f>
        <v>752</v>
      </c>
      <c r="N14" s="26">
        <f t="shared" si="6"/>
        <v>743</v>
      </c>
    </row>
    <row r="15" spans="1:14" x14ac:dyDescent="0.3">
      <c r="A15" s="12" t="s">
        <v>323</v>
      </c>
      <c r="B15" s="26">
        <v>13</v>
      </c>
      <c r="C15" s="26">
        <f>SUMIF('геншин персы'!Y:Y,A15,'геншин персы'!X:X)</f>
        <v>18</v>
      </c>
      <c r="D15" s="26">
        <f t="shared" si="0"/>
        <v>5</v>
      </c>
      <c r="E15" s="26">
        <f t="shared" si="1"/>
        <v>0</v>
      </c>
      <c r="F15" s="26">
        <v>16</v>
      </c>
      <c r="G15" s="26">
        <f t="shared" si="2"/>
        <v>16</v>
      </c>
      <c r="H15" s="26">
        <f>SUMIF('геншин персы'!Y:Y,A15,'геншин персы'!W:W)</f>
        <v>126</v>
      </c>
      <c r="I15" s="26">
        <f t="shared" si="3"/>
        <v>110</v>
      </c>
      <c r="J15" s="26">
        <f t="shared" si="4"/>
        <v>0</v>
      </c>
      <c r="K15" s="26">
        <v>2</v>
      </c>
      <c r="L15" s="26">
        <f t="shared" si="5"/>
        <v>2</v>
      </c>
      <c r="M15" s="26">
        <f>SUMIF('геншин персы'!Y:Y,A15,'геншин персы'!V:V)</f>
        <v>228</v>
      </c>
      <c r="N15" s="26">
        <f t="shared" si="6"/>
        <v>226</v>
      </c>
    </row>
    <row r="16" spans="1:14" x14ac:dyDescent="0.3">
      <c r="A16" s="12" t="s">
        <v>322</v>
      </c>
      <c r="B16" s="26">
        <v>12</v>
      </c>
      <c r="C16" s="26">
        <f>SUMIF('геншин персы'!Y:Y,A16,'геншин персы'!X:X)</f>
        <v>9</v>
      </c>
      <c r="D16" s="26">
        <f t="shared" ref="D16:D19" si="7">IF(C16-B16&lt;0,0,C16-B16)</f>
        <v>0</v>
      </c>
      <c r="E16" s="26">
        <f t="shared" ref="E16:E19" si="8">IF(D16=0,B16-C16,0)</f>
        <v>3</v>
      </c>
      <c r="F16" s="26">
        <v>16</v>
      </c>
      <c r="G16" s="26">
        <f t="shared" ref="G16:G19" si="9">F16+ROUNDDOWN(E16/3,0)</f>
        <v>17</v>
      </c>
      <c r="H16" s="26">
        <f>SUMIF('геншин персы'!Y:Y,A16,'геншин персы'!W:W)</f>
        <v>63</v>
      </c>
      <c r="I16" s="26">
        <f t="shared" si="3"/>
        <v>46</v>
      </c>
      <c r="J16" s="26">
        <f t="shared" ref="J16:J19" si="10">IF(I16=0,F16-H16,0)</f>
        <v>0</v>
      </c>
      <c r="K16" s="26">
        <v>2</v>
      </c>
      <c r="L16" s="26">
        <f t="shared" ref="L16:L19" si="11">K16+ROUNDDOWN(J16/3,0)</f>
        <v>2</v>
      </c>
      <c r="M16" s="26">
        <f>SUMIF('геншин персы'!Y:Y,A16,'геншин персы'!V:V)</f>
        <v>114</v>
      </c>
      <c r="N16" s="26">
        <f t="shared" si="6"/>
        <v>112</v>
      </c>
    </row>
    <row r="17" spans="1:14" x14ac:dyDescent="0.3">
      <c r="A17" s="12" t="s">
        <v>344</v>
      </c>
      <c r="B17" s="26">
        <v>43</v>
      </c>
      <c r="C17" s="26">
        <f>SUMIF('геншин персы'!Y:Y,A17,'геншин персы'!X:X)</f>
        <v>36</v>
      </c>
      <c r="D17" s="26">
        <f t="shared" si="7"/>
        <v>0</v>
      </c>
      <c r="E17" s="26">
        <f t="shared" si="8"/>
        <v>7</v>
      </c>
      <c r="F17" s="26">
        <v>48</v>
      </c>
      <c r="G17" s="26">
        <f t="shared" si="9"/>
        <v>50</v>
      </c>
      <c r="H17" s="26">
        <f>SUMIF('геншин персы'!Y:Y,A17,'геншин персы'!W:W)</f>
        <v>252</v>
      </c>
      <c r="I17" s="26">
        <f t="shared" si="3"/>
        <v>202</v>
      </c>
      <c r="J17" s="26">
        <f t="shared" si="10"/>
        <v>0</v>
      </c>
      <c r="K17" s="26">
        <v>18</v>
      </c>
      <c r="L17" s="26">
        <f t="shared" si="11"/>
        <v>18</v>
      </c>
      <c r="M17" s="26">
        <f>SUMIF('геншин персы'!Y:Y,A17,'геншин персы'!V:V)</f>
        <v>456</v>
      </c>
      <c r="N17" s="26">
        <f t="shared" si="6"/>
        <v>438</v>
      </c>
    </row>
    <row r="18" spans="1:14" x14ac:dyDescent="0.3">
      <c r="A18" s="12" t="s">
        <v>329</v>
      </c>
      <c r="B18" s="26">
        <v>1</v>
      </c>
      <c r="C18" s="26">
        <f>SUMIF('геншин персы'!Y:Y,A18,'геншин персы'!X:X)</f>
        <v>33</v>
      </c>
      <c r="D18" s="26">
        <f t="shared" si="7"/>
        <v>32</v>
      </c>
      <c r="E18" s="26">
        <f t="shared" si="8"/>
        <v>0</v>
      </c>
      <c r="F18" s="26">
        <v>2</v>
      </c>
      <c r="G18" s="26">
        <f t="shared" si="9"/>
        <v>2</v>
      </c>
      <c r="H18" s="26">
        <f>SUMIF('геншин персы'!Y:Y,A18,'геншин персы'!W:W)</f>
        <v>246</v>
      </c>
      <c r="I18" s="26">
        <f t="shared" si="3"/>
        <v>244</v>
      </c>
      <c r="J18" s="26">
        <f t="shared" si="10"/>
        <v>0</v>
      </c>
      <c r="K18" s="26">
        <v>11</v>
      </c>
      <c r="L18" s="26">
        <f t="shared" si="11"/>
        <v>11</v>
      </c>
      <c r="M18" s="26">
        <f>SUMIF('геншин персы'!Y:Y,A18,'геншин персы'!V:V)</f>
        <v>752</v>
      </c>
      <c r="N18" s="26">
        <f t="shared" si="6"/>
        <v>741</v>
      </c>
    </row>
    <row r="19" spans="1:14" x14ac:dyDescent="0.3">
      <c r="A19" s="12" t="s">
        <v>343</v>
      </c>
      <c r="B19" s="26">
        <v>38</v>
      </c>
      <c r="C19" s="26">
        <f>SUMIF('геншин персы'!Y:Y,A19,'геншин персы'!X:X)</f>
        <v>30</v>
      </c>
      <c r="D19" s="26">
        <f t="shared" si="7"/>
        <v>0</v>
      </c>
      <c r="E19" s="26">
        <f t="shared" si="8"/>
        <v>8</v>
      </c>
      <c r="F19" s="26">
        <v>48</v>
      </c>
      <c r="G19" s="26">
        <f t="shared" si="9"/>
        <v>50</v>
      </c>
      <c r="H19" s="26">
        <f>SUMIF('геншин персы'!Y:Y,A19,'геншин персы'!W:W)</f>
        <v>269</v>
      </c>
      <c r="I19" s="26">
        <f t="shared" si="3"/>
        <v>219</v>
      </c>
      <c r="J19" s="26">
        <f t="shared" si="10"/>
        <v>0</v>
      </c>
      <c r="K19" s="26">
        <v>31</v>
      </c>
      <c r="L19" s="26">
        <f t="shared" si="11"/>
        <v>31</v>
      </c>
      <c r="M19" s="26">
        <f>SUMIF('геншин персы'!Y:Y,A19,'геншин персы'!V:V)</f>
        <v>570</v>
      </c>
      <c r="N19" s="26">
        <f t="shared" si="6"/>
        <v>539</v>
      </c>
    </row>
    <row r="20" spans="1:14" x14ac:dyDescent="0.3">
      <c r="A20"/>
    </row>
    <row r="21" spans="1:14" x14ac:dyDescent="0.3">
      <c r="A21"/>
    </row>
    <row r="22" spans="1:14" x14ac:dyDescent="0.3">
      <c r="A22"/>
    </row>
    <row r="23" spans="1:14" x14ac:dyDescent="0.3">
      <c r="A23" s="12" t="s">
        <v>326</v>
      </c>
      <c r="B23" s="26">
        <v>0</v>
      </c>
      <c r="C23" s="26">
        <f>SUMIF('геншин персы'!Y:Y,A23,'геншин персы'!X:X)</f>
        <v>39</v>
      </c>
      <c r="D23" s="26">
        <f>IF(C23-B23&lt;0,0,C23-B23)</f>
        <v>39</v>
      </c>
      <c r="E23" s="26">
        <f>IF(D23=0,B23-C23,0)</f>
        <v>0</v>
      </c>
      <c r="F23" s="26">
        <v>0</v>
      </c>
      <c r="G23" s="26">
        <f>F23+ROUNDDOWN(E23/3,0)</f>
        <v>0</v>
      </c>
      <c r="H23" s="26">
        <f>SUMIF('геншин персы'!Y:Y,A23,'геншин персы'!W:W)</f>
        <v>273</v>
      </c>
      <c r="I23" s="26">
        <f>IF(H23-G23&lt;0,0,H23-G23)</f>
        <v>273</v>
      </c>
      <c r="J23" s="26">
        <f>IF(I23=0,F23-H23,0)</f>
        <v>0</v>
      </c>
      <c r="K23" s="26">
        <v>0</v>
      </c>
      <c r="L23" s="26">
        <f>K23+ROUNDDOWN(J23/3,0)</f>
        <v>0</v>
      </c>
      <c r="M23" s="26">
        <f>SUMIF('геншин персы'!Y:Y,A23,'геншин персы'!V:V)</f>
        <v>560</v>
      </c>
      <c r="N23" s="26">
        <f>IF(M23-L23&lt;0,0,M23-L23)</f>
        <v>560</v>
      </c>
    </row>
    <row r="24" spans="1:14" x14ac:dyDescent="0.3">
      <c r="A24"/>
    </row>
    <row r="25" spans="1:14" x14ac:dyDescent="0.3">
      <c r="A25"/>
    </row>
    <row r="26" spans="1:14" x14ac:dyDescent="0.3">
      <c r="A26"/>
    </row>
    <row r="27" spans="1:14" x14ac:dyDescent="0.3">
      <c r="A27"/>
    </row>
    <row r="28" spans="1:14" x14ac:dyDescent="0.3">
      <c r="A28"/>
    </row>
    <row r="29" spans="1:14" x14ac:dyDescent="0.3">
      <c r="A29"/>
    </row>
    <row r="30" spans="1:14" x14ac:dyDescent="0.3">
      <c r="A30"/>
    </row>
    <row r="31" spans="1:14" x14ac:dyDescent="0.3">
      <c r="A31"/>
    </row>
    <row r="32" spans="1:14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661-6EC8-478E-8919-9131D7E2EC72}">
  <sheetPr filterMode="1"/>
  <dimension ref="A1:O46"/>
  <sheetViews>
    <sheetView workbookViewId="0">
      <selection activeCell="F38" sqref="F38"/>
    </sheetView>
  </sheetViews>
  <sheetFormatPr defaultRowHeight="14.4" x14ac:dyDescent="0.3"/>
  <cols>
    <col min="1" max="1" width="34.109375" bestFit="1" customWidth="1"/>
    <col min="3" max="3" width="12" bestFit="1" customWidth="1"/>
  </cols>
  <sheetData>
    <row r="1" spans="1:15" x14ac:dyDescent="0.3">
      <c r="A1" t="s">
        <v>380</v>
      </c>
      <c r="B1" t="s">
        <v>381</v>
      </c>
      <c r="C1" t="s">
        <v>382</v>
      </c>
      <c r="D1" t="s">
        <v>383</v>
      </c>
      <c r="E1" t="s">
        <v>384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438</v>
      </c>
      <c r="O1" t="s">
        <v>439</v>
      </c>
    </row>
    <row r="2" spans="1:15" x14ac:dyDescent="0.3">
      <c r="A2" t="s">
        <v>419</v>
      </c>
      <c r="C2">
        <f t="shared" ref="C2:C46" si="0">SUM(F2:S2)</f>
        <v>12</v>
      </c>
      <c r="D2">
        <v>11</v>
      </c>
      <c r="E2">
        <f t="shared" ref="E2:E46" si="1">C2-D2</f>
        <v>1</v>
      </c>
      <c r="H2">
        <v>4</v>
      </c>
      <c r="I2">
        <v>8</v>
      </c>
    </row>
    <row r="3" spans="1:15" hidden="1" x14ac:dyDescent="0.3">
      <c r="A3" t="s">
        <v>386</v>
      </c>
      <c r="C3">
        <f t="shared" si="0"/>
        <v>0</v>
      </c>
      <c r="E3">
        <f t="shared" si="1"/>
        <v>0</v>
      </c>
    </row>
    <row r="4" spans="1:15" hidden="1" x14ac:dyDescent="0.3">
      <c r="A4" t="s">
        <v>387</v>
      </c>
      <c r="C4">
        <f t="shared" si="0"/>
        <v>0</v>
      </c>
      <c r="E4">
        <f t="shared" si="1"/>
        <v>0</v>
      </c>
    </row>
    <row r="5" spans="1:15" hidden="1" x14ac:dyDescent="0.3">
      <c r="A5" t="s">
        <v>388</v>
      </c>
      <c r="C5">
        <f t="shared" si="0"/>
        <v>0</v>
      </c>
      <c r="D5">
        <v>1</v>
      </c>
      <c r="E5">
        <f t="shared" si="1"/>
        <v>-1</v>
      </c>
    </row>
    <row r="6" spans="1:15" hidden="1" x14ac:dyDescent="0.3">
      <c r="A6" t="s">
        <v>389</v>
      </c>
      <c r="C6">
        <f t="shared" si="0"/>
        <v>0</v>
      </c>
      <c r="D6">
        <v>1</v>
      </c>
      <c r="E6">
        <f t="shared" si="1"/>
        <v>-1</v>
      </c>
    </row>
    <row r="7" spans="1:15" hidden="1" x14ac:dyDescent="0.3">
      <c r="A7" t="s">
        <v>390</v>
      </c>
      <c r="C7">
        <f t="shared" si="0"/>
        <v>0</v>
      </c>
      <c r="E7">
        <f t="shared" si="1"/>
        <v>0</v>
      </c>
    </row>
    <row r="8" spans="1:15" hidden="1" x14ac:dyDescent="0.3">
      <c r="A8" t="s">
        <v>391</v>
      </c>
      <c r="C8">
        <f t="shared" si="0"/>
        <v>0</v>
      </c>
      <c r="E8">
        <f t="shared" si="1"/>
        <v>0</v>
      </c>
    </row>
    <row r="9" spans="1:15" hidden="1" x14ac:dyDescent="0.3">
      <c r="A9" t="s">
        <v>392</v>
      </c>
      <c r="C9">
        <f t="shared" si="0"/>
        <v>0</v>
      </c>
      <c r="E9">
        <f t="shared" si="1"/>
        <v>0</v>
      </c>
    </row>
    <row r="10" spans="1:15" hidden="1" x14ac:dyDescent="0.3">
      <c r="A10" t="s">
        <v>393</v>
      </c>
      <c r="C10">
        <f t="shared" si="0"/>
        <v>0</v>
      </c>
      <c r="E10">
        <f t="shared" si="1"/>
        <v>0</v>
      </c>
    </row>
    <row r="11" spans="1:15" hidden="1" x14ac:dyDescent="0.3">
      <c r="A11" t="s">
        <v>394</v>
      </c>
      <c r="C11">
        <f t="shared" si="0"/>
        <v>0</v>
      </c>
      <c r="E11">
        <f t="shared" si="1"/>
        <v>0</v>
      </c>
    </row>
    <row r="12" spans="1:15" hidden="1" x14ac:dyDescent="0.3">
      <c r="A12" t="s">
        <v>395</v>
      </c>
      <c r="C12">
        <f t="shared" si="0"/>
        <v>0</v>
      </c>
      <c r="E12">
        <f t="shared" si="1"/>
        <v>0</v>
      </c>
    </row>
    <row r="13" spans="1:15" hidden="1" x14ac:dyDescent="0.3">
      <c r="A13" t="s">
        <v>396</v>
      </c>
      <c r="C13">
        <f t="shared" si="0"/>
        <v>0</v>
      </c>
      <c r="D13">
        <v>1</v>
      </c>
      <c r="E13">
        <f t="shared" si="1"/>
        <v>-1</v>
      </c>
    </row>
    <row r="14" spans="1:15" hidden="1" x14ac:dyDescent="0.3">
      <c r="A14" t="s">
        <v>397</v>
      </c>
      <c r="C14">
        <f t="shared" si="0"/>
        <v>0</v>
      </c>
      <c r="E14">
        <f t="shared" si="1"/>
        <v>0</v>
      </c>
    </row>
    <row r="15" spans="1:15" hidden="1" x14ac:dyDescent="0.3">
      <c r="A15" t="s">
        <v>398</v>
      </c>
      <c r="C15">
        <f t="shared" si="0"/>
        <v>0</v>
      </c>
      <c r="E15">
        <f t="shared" si="1"/>
        <v>0</v>
      </c>
    </row>
    <row r="16" spans="1:15" hidden="1" x14ac:dyDescent="0.3">
      <c r="A16" t="s">
        <v>399</v>
      </c>
      <c r="C16">
        <f t="shared" si="0"/>
        <v>0</v>
      </c>
      <c r="E16">
        <f t="shared" si="1"/>
        <v>0</v>
      </c>
    </row>
    <row r="17" spans="1:14" hidden="1" x14ac:dyDescent="0.3">
      <c r="A17" t="s">
        <v>400</v>
      </c>
      <c r="C17">
        <f t="shared" si="0"/>
        <v>0</v>
      </c>
      <c r="D17">
        <v>2</v>
      </c>
      <c r="E17">
        <f t="shared" si="1"/>
        <v>-2</v>
      </c>
    </row>
    <row r="18" spans="1:14" hidden="1" x14ac:dyDescent="0.3">
      <c r="A18" t="s">
        <v>401</v>
      </c>
      <c r="C18">
        <f t="shared" si="0"/>
        <v>0</v>
      </c>
      <c r="E18">
        <f t="shared" si="1"/>
        <v>0</v>
      </c>
    </row>
    <row r="19" spans="1:14" hidden="1" x14ac:dyDescent="0.3">
      <c r="A19" t="s">
        <v>402</v>
      </c>
      <c r="C19">
        <f t="shared" si="0"/>
        <v>0</v>
      </c>
      <c r="E19">
        <f t="shared" si="1"/>
        <v>0</v>
      </c>
    </row>
    <row r="20" spans="1:14" hidden="1" x14ac:dyDescent="0.3">
      <c r="A20" t="s">
        <v>403</v>
      </c>
      <c r="C20">
        <f t="shared" si="0"/>
        <v>0</v>
      </c>
      <c r="E20">
        <f t="shared" si="1"/>
        <v>0</v>
      </c>
    </row>
    <row r="21" spans="1:14" hidden="1" x14ac:dyDescent="0.3">
      <c r="A21" t="s">
        <v>404</v>
      </c>
      <c r="C21">
        <f t="shared" si="0"/>
        <v>0</v>
      </c>
      <c r="E21">
        <f t="shared" si="1"/>
        <v>0</v>
      </c>
    </row>
    <row r="22" spans="1:14" hidden="1" x14ac:dyDescent="0.3">
      <c r="A22" t="s">
        <v>405</v>
      </c>
      <c r="C22">
        <f t="shared" si="0"/>
        <v>0</v>
      </c>
      <c r="E22">
        <f t="shared" si="1"/>
        <v>0</v>
      </c>
    </row>
    <row r="23" spans="1:14" hidden="1" x14ac:dyDescent="0.3">
      <c r="A23" t="s">
        <v>406</v>
      </c>
      <c r="C23">
        <f t="shared" si="0"/>
        <v>0</v>
      </c>
      <c r="E23">
        <f t="shared" si="1"/>
        <v>0</v>
      </c>
    </row>
    <row r="24" spans="1:14" hidden="1" x14ac:dyDescent="0.3">
      <c r="A24" t="s">
        <v>407</v>
      </c>
      <c r="C24">
        <f t="shared" si="0"/>
        <v>0</v>
      </c>
      <c r="E24">
        <f t="shared" si="1"/>
        <v>0</v>
      </c>
    </row>
    <row r="25" spans="1:14" x14ac:dyDescent="0.3">
      <c r="A25" t="s">
        <v>432</v>
      </c>
      <c r="C25">
        <f t="shared" si="0"/>
        <v>3</v>
      </c>
      <c r="E25">
        <f t="shared" si="1"/>
        <v>3</v>
      </c>
      <c r="N25">
        <v>3</v>
      </c>
    </row>
    <row r="26" spans="1:14" x14ac:dyDescent="0.3">
      <c r="A26" t="s">
        <v>436</v>
      </c>
      <c r="C26">
        <f t="shared" si="0"/>
        <v>3</v>
      </c>
      <c r="E26">
        <f t="shared" si="1"/>
        <v>3</v>
      </c>
      <c r="N26">
        <v>3</v>
      </c>
    </row>
    <row r="27" spans="1:14" x14ac:dyDescent="0.3">
      <c r="A27" t="s">
        <v>431</v>
      </c>
      <c r="C27">
        <f t="shared" si="0"/>
        <v>4</v>
      </c>
      <c r="E27">
        <f t="shared" si="1"/>
        <v>4</v>
      </c>
      <c r="N27">
        <v>4</v>
      </c>
    </row>
    <row r="28" spans="1:14" x14ac:dyDescent="0.3">
      <c r="A28" t="s">
        <v>417</v>
      </c>
      <c r="C28">
        <f t="shared" si="0"/>
        <v>20</v>
      </c>
      <c r="D28">
        <v>11</v>
      </c>
      <c r="E28">
        <f t="shared" si="1"/>
        <v>9</v>
      </c>
      <c r="G28">
        <v>20</v>
      </c>
    </row>
    <row r="29" spans="1:14" x14ac:dyDescent="0.3">
      <c r="A29" t="s">
        <v>408</v>
      </c>
      <c r="C29">
        <f t="shared" si="0"/>
        <v>20</v>
      </c>
      <c r="D29">
        <v>9</v>
      </c>
      <c r="E29">
        <f t="shared" si="1"/>
        <v>11</v>
      </c>
      <c r="K29">
        <v>20</v>
      </c>
    </row>
    <row r="30" spans="1:14" x14ac:dyDescent="0.3">
      <c r="A30" t="s">
        <v>428</v>
      </c>
      <c r="C30">
        <f t="shared" si="0"/>
        <v>12</v>
      </c>
      <c r="E30">
        <f t="shared" si="1"/>
        <v>12</v>
      </c>
      <c r="L30">
        <v>4</v>
      </c>
      <c r="M30">
        <v>8</v>
      </c>
    </row>
    <row r="31" spans="1:14" x14ac:dyDescent="0.3">
      <c r="A31" t="s">
        <v>410</v>
      </c>
      <c r="C31">
        <f t="shared" si="0"/>
        <v>20</v>
      </c>
      <c r="D31">
        <v>7</v>
      </c>
      <c r="E31">
        <f t="shared" si="1"/>
        <v>13</v>
      </c>
      <c r="K31">
        <v>20</v>
      </c>
    </row>
    <row r="32" spans="1:14" x14ac:dyDescent="0.3">
      <c r="A32" t="s">
        <v>409</v>
      </c>
      <c r="C32">
        <f t="shared" si="0"/>
        <v>20</v>
      </c>
      <c r="D32">
        <v>4</v>
      </c>
      <c r="E32">
        <f t="shared" si="1"/>
        <v>16</v>
      </c>
      <c r="K32">
        <v>20</v>
      </c>
    </row>
    <row r="33" spans="1:14" x14ac:dyDescent="0.3">
      <c r="A33" t="s">
        <v>418</v>
      </c>
      <c r="C33">
        <f t="shared" si="0"/>
        <v>25</v>
      </c>
      <c r="D33">
        <v>8</v>
      </c>
      <c r="E33">
        <f t="shared" si="1"/>
        <v>17</v>
      </c>
      <c r="F33">
        <v>5</v>
      </c>
      <c r="G33">
        <v>20</v>
      </c>
    </row>
    <row r="34" spans="1:14" hidden="1" x14ac:dyDescent="0.3">
      <c r="A34" t="s">
        <v>430</v>
      </c>
      <c r="C34">
        <f t="shared" si="0"/>
        <v>0</v>
      </c>
      <c r="E34">
        <f t="shared" si="1"/>
        <v>0</v>
      </c>
    </row>
    <row r="35" spans="1:14" x14ac:dyDescent="0.3">
      <c r="A35" t="s">
        <v>433</v>
      </c>
      <c r="C35">
        <f t="shared" si="0"/>
        <v>20</v>
      </c>
      <c r="E35">
        <f t="shared" si="1"/>
        <v>20</v>
      </c>
      <c r="N35">
        <v>20</v>
      </c>
    </row>
    <row r="36" spans="1:14" x14ac:dyDescent="0.3">
      <c r="A36" t="s">
        <v>434</v>
      </c>
      <c r="C36">
        <f t="shared" si="0"/>
        <v>20</v>
      </c>
      <c r="E36">
        <f t="shared" si="1"/>
        <v>20</v>
      </c>
      <c r="N36">
        <v>20</v>
      </c>
    </row>
    <row r="37" spans="1:14" x14ac:dyDescent="0.3">
      <c r="A37" t="s">
        <v>435</v>
      </c>
      <c r="C37">
        <f t="shared" si="0"/>
        <v>20</v>
      </c>
      <c r="D37">
        <v>8</v>
      </c>
      <c r="E37">
        <f t="shared" si="1"/>
        <v>12</v>
      </c>
      <c r="N37">
        <v>20</v>
      </c>
    </row>
    <row r="38" spans="1:14" x14ac:dyDescent="0.3">
      <c r="A38" t="s">
        <v>437</v>
      </c>
      <c r="C38">
        <f t="shared" si="0"/>
        <v>20</v>
      </c>
      <c r="D38">
        <v>8</v>
      </c>
      <c r="E38">
        <f t="shared" si="1"/>
        <v>12</v>
      </c>
      <c r="N38">
        <v>20</v>
      </c>
    </row>
    <row r="39" spans="1:14" hidden="1" x14ac:dyDescent="0.3">
      <c r="A39" t="s">
        <v>429</v>
      </c>
      <c r="C39">
        <f t="shared" si="0"/>
        <v>0</v>
      </c>
      <c r="E39">
        <f t="shared" si="1"/>
        <v>0</v>
      </c>
    </row>
    <row r="40" spans="1:14" x14ac:dyDescent="0.3">
      <c r="A40" t="s">
        <v>416</v>
      </c>
      <c r="C40">
        <f t="shared" si="0"/>
        <v>25</v>
      </c>
      <c r="D40">
        <v>4</v>
      </c>
      <c r="E40">
        <f t="shared" si="1"/>
        <v>21</v>
      </c>
      <c r="F40">
        <v>5</v>
      </c>
      <c r="G40">
        <v>20</v>
      </c>
    </row>
    <row r="41" spans="1:14" x14ac:dyDescent="0.3">
      <c r="A41" t="s">
        <v>412</v>
      </c>
      <c r="C41">
        <f t="shared" si="0"/>
        <v>40</v>
      </c>
      <c r="D41">
        <v>17</v>
      </c>
      <c r="E41">
        <f t="shared" si="1"/>
        <v>23</v>
      </c>
      <c r="L41">
        <v>16</v>
      </c>
      <c r="M41">
        <v>24</v>
      </c>
    </row>
    <row r="42" spans="1:14" x14ac:dyDescent="0.3">
      <c r="A42" t="s">
        <v>415</v>
      </c>
      <c r="C42">
        <f t="shared" si="0"/>
        <v>30</v>
      </c>
      <c r="D42">
        <v>3</v>
      </c>
      <c r="E42">
        <f t="shared" si="1"/>
        <v>27</v>
      </c>
      <c r="H42">
        <v>10</v>
      </c>
      <c r="I42">
        <v>20</v>
      </c>
    </row>
    <row r="43" spans="1:14" x14ac:dyDescent="0.3">
      <c r="A43" t="s">
        <v>411</v>
      </c>
      <c r="C43">
        <f t="shared" si="0"/>
        <v>40</v>
      </c>
      <c r="D43">
        <v>12</v>
      </c>
      <c r="E43">
        <f t="shared" si="1"/>
        <v>28</v>
      </c>
      <c r="L43">
        <v>16</v>
      </c>
      <c r="M43">
        <v>24</v>
      </c>
    </row>
    <row r="44" spans="1:14" x14ac:dyDescent="0.3">
      <c r="A44" t="s">
        <v>414</v>
      </c>
      <c r="C44">
        <f t="shared" si="0"/>
        <v>30</v>
      </c>
      <c r="D44">
        <v>1</v>
      </c>
      <c r="E44">
        <f t="shared" si="1"/>
        <v>29</v>
      </c>
      <c r="H44">
        <v>10</v>
      </c>
      <c r="I44">
        <v>20</v>
      </c>
    </row>
    <row r="45" spans="1:14" x14ac:dyDescent="0.3">
      <c r="A45" t="s">
        <v>385</v>
      </c>
      <c r="C45">
        <f t="shared" si="0"/>
        <v>30</v>
      </c>
      <c r="E45">
        <f t="shared" si="1"/>
        <v>30</v>
      </c>
      <c r="J45">
        <v>10</v>
      </c>
      <c r="K45">
        <v>20</v>
      </c>
    </row>
    <row r="46" spans="1:14" x14ac:dyDescent="0.3">
      <c r="A46" t="s">
        <v>413</v>
      </c>
      <c r="C46">
        <f t="shared" si="0"/>
        <v>56</v>
      </c>
      <c r="D46">
        <v>8</v>
      </c>
      <c r="E46">
        <f t="shared" si="1"/>
        <v>48</v>
      </c>
      <c r="G46">
        <v>20</v>
      </c>
      <c r="H46">
        <v>12</v>
      </c>
      <c r="I46">
        <v>24</v>
      </c>
    </row>
  </sheetData>
  <autoFilter ref="A1:O46" xr:uid="{13329661-6EC8-478E-8919-9131D7E2EC72}">
    <filterColumn colId="2">
      <filters>
        <filter val="12"/>
        <filter val="20"/>
        <filter val="25"/>
        <filter val="3"/>
        <filter val="30"/>
        <filter val="36"/>
        <filter val="4"/>
        <filter val="40"/>
        <filter val="56"/>
      </filters>
    </filterColumn>
    <sortState xmlns:xlrd2="http://schemas.microsoft.com/office/spreadsheetml/2017/richdata2" ref="A2:O46">
      <sortCondition ref="E1:E4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Хср персы</vt:lpstr>
      <vt:lpstr>Хср боссы</vt:lpstr>
      <vt:lpstr>боссы следов</vt:lpstr>
      <vt:lpstr>ch материалы</vt:lpstr>
      <vt:lpstr>геншин персы</vt:lpstr>
      <vt:lpstr>материалы прокачки</vt:lpstr>
      <vt:lpstr>диковинки</vt:lpstr>
      <vt:lpstr>Кристалы</vt:lpstr>
      <vt:lpstr>еженед боссы</vt:lpstr>
      <vt:lpstr>боссы</vt:lpstr>
      <vt:lpstr>Книги талантов</vt:lpstr>
      <vt:lpstr>Рыбалка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Лидия</dc:creator>
  <cp:lastModifiedBy>Лидия Семенова</cp:lastModifiedBy>
  <dcterms:created xsi:type="dcterms:W3CDTF">2015-06-05T18:17:20Z</dcterms:created>
  <dcterms:modified xsi:type="dcterms:W3CDTF">2025-07-10T11:27:41Z</dcterms:modified>
</cp:coreProperties>
</file>